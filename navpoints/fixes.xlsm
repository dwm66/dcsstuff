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dondl\Desktop\"/>
    </mc:Choice>
  </mc:AlternateContent>
  <bookViews>
    <workbookView xWindow="0" yWindow="0" windowWidth="23016" windowHeight="9168"/>
  </bookViews>
  <sheets>
    <sheet name="Offshore Pacific" sheetId="3" r:id="rId1"/>
    <sheet name="Sheet1" sheetId="1" r:id="rId2"/>
    <sheet name="Sheet2" sheetId="2" r:id="rId3"/>
  </sheets>
  <functionGroups builtInGroupCount="18"/>
  <definedNames>
    <definedName name="_xlnm._FilterDatabase" localSheetId="0" hidden="1">'Offshore Pacific'!$A$1:$H$572</definedName>
    <definedName name="_xlnm._FilterDatabase" localSheetId="2" hidden="1">Sheet2!$A$1:$H$186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E10" i="3"/>
  <c r="D15" i="3"/>
  <c r="E22" i="3"/>
  <c r="D27" i="3"/>
  <c r="E34" i="3"/>
  <c r="D39" i="3"/>
  <c r="E46" i="3"/>
  <c r="D51" i="3"/>
  <c r="E58" i="3"/>
  <c r="D63" i="3"/>
  <c r="E70" i="3"/>
  <c r="D75" i="3"/>
  <c r="E82" i="3"/>
  <c r="D87" i="3"/>
  <c r="E94" i="3"/>
  <c r="D99" i="3"/>
  <c r="E106" i="3"/>
  <c r="D111" i="3"/>
  <c r="E118" i="3"/>
  <c r="D123" i="3"/>
  <c r="E130" i="3"/>
  <c r="D135" i="3"/>
  <c r="E142" i="3"/>
  <c r="D147" i="3"/>
  <c r="E154" i="3"/>
  <c r="D159" i="3"/>
  <c r="E166" i="3"/>
  <c r="D171" i="3"/>
  <c r="E178" i="3"/>
  <c r="D183" i="3"/>
  <c r="E190" i="3"/>
  <c r="D195" i="3"/>
  <c r="E202" i="3"/>
  <c r="D207" i="3"/>
  <c r="E214" i="3"/>
  <c r="D219" i="3"/>
  <c r="E226" i="3"/>
  <c r="D231" i="3"/>
  <c r="E3" i="3"/>
  <c r="D8" i="3"/>
  <c r="E15" i="3"/>
  <c r="D20" i="3"/>
  <c r="E27" i="3"/>
  <c r="D32" i="3"/>
  <c r="E39" i="3"/>
  <c r="D44" i="3"/>
  <c r="E51" i="3"/>
  <c r="D56" i="3"/>
  <c r="E63" i="3"/>
  <c r="D68" i="3"/>
  <c r="E75" i="3"/>
  <c r="D80" i="3"/>
  <c r="E87" i="3"/>
  <c r="D92" i="3"/>
  <c r="E99" i="3"/>
  <c r="D104" i="3"/>
  <c r="E111" i="3"/>
  <c r="D116" i="3"/>
  <c r="E123" i="3"/>
  <c r="D128" i="3"/>
  <c r="E135" i="3"/>
  <c r="D140" i="3"/>
  <c r="E147" i="3"/>
  <c r="E8" i="3"/>
  <c r="D13" i="3"/>
  <c r="E20" i="3"/>
  <c r="D25" i="3"/>
  <c r="E32" i="3"/>
  <c r="D37" i="3"/>
  <c r="E44" i="3"/>
  <c r="D49" i="3"/>
  <c r="E56" i="3"/>
  <c r="D61" i="3"/>
  <c r="E68" i="3"/>
  <c r="D73" i="3"/>
  <c r="E80" i="3"/>
  <c r="D85" i="3"/>
  <c r="E92" i="3"/>
  <c r="D97" i="3"/>
  <c r="E104" i="3"/>
  <c r="D109" i="3"/>
  <c r="E116" i="3"/>
  <c r="D121" i="3"/>
  <c r="E128" i="3"/>
  <c r="D133" i="3"/>
  <c r="E140" i="3"/>
  <c r="D145" i="3"/>
  <c r="E152" i="3"/>
  <c r="D157" i="3"/>
  <c r="E164" i="3"/>
  <c r="D169" i="3"/>
  <c r="E176" i="3"/>
  <c r="D181" i="3"/>
  <c r="E188" i="3"/>
  <c r="D193" i="3"/>
  <c r="E200" i="3"/>
  <c r="D205" i="3"/>
  <c r="E212" i="3"/>
  <c r="D217" i="3"/>
  <c r="E224" i="3"/>
  <c r="D229" i="3"/>
  <c r="E236" i="3"/>
  <c r="D6" i="3"/>
  <c r="E13" i="3"/>
  <c r="D18" i="3"/>
  <c r="E25" i="3"/>
  <c r="D30" i="3"/>
  <c r="E37" i="3"/>
  <c r="D42" i="3"/>
  <c r="E49" i="3"/>
  <c r="D54" i="3"/>
  <c r="E61" i="3"/>
  <c r="D66" i="3"/>
  <c r="E73" i="3"/>
  <c r="D78" i="3"/>
  <c r="E85" i="3"/>
  <c r="D90" i="3"/>
  <c r="E97" i="3"/>
  <c r="D102" i="3"/>
  <c r="E109" i="3"/>
  <c r="D114" i="3"/>
  <c r="E121" i="3"/>
  <c r="D126" i="3"/>
  <c r="E133" i="3"/>
  <c r="D138" i="3"/>
  <c r="E145" i="3"/>
  <c r="D150" i="3"/>
  <c r="E157" i="3"/>
  <c r="D162" i="3"/>
  <c r="E169" i="3"/>
  <c r="D174" i="3"/>
  <c r="E181" i="3"/>
  <c r="D186" i="3"/>
  <c r="E193" i="3"/>
  <c r="D198" i="3"/>
  <c r="E205" i="3"/>
  <c r="D210" i="3"/>
  <c r="E6" i="3"/>
  <c r="D11" i="3"/>
  <c r="E18" i="3"/>
  <c r="D23" i="3"/>
  <c r="E30" i="3"/>
  <c r="D35" i="3"/>
  <c r="E42" i="3"/>
  <c r="D47" i="3"/>
  <c r="E54" i="3"/>
  <c r="D59" i="3"/>
  <c r="E66" i="3"/>
  <c r="D71" i="3"/>
  <c r="E78" i="3"/>
  <c r="D83" i="3"/>
  <c r="E90" i="3"/>
  <c r="D95" i="3"/>
  <c r="E102" i="3"/>
  <c r="D107" i="3"/>
  <c r="E114" i="3"/>
  <c r="D119" i="3"/>
  <c r="E126" i="3"/>
  <c r="D131" i="3"/>
  <c r="E138" i="3"/>
  <c r="D143" i="3"/>
  <c r="E150" i="3"/>
  <c r="D155" i="3"/>
  <c r="E162" i="3"/>
  <c r="D167" i="3"/>
  <c r="D4" i="3"/>
  <c r="E11" i="3"/>
  <c r="D16" i="3"/>
  <c r="E23" i="3"/>
  <c r="D28" i="3"/>
  <c r="E35" i="3"/>
  <c r="D40" i="3"/>
  <c r="E47" i="3"/>
  <c r="D52" i="3"/>
  <c r="E59" i="3"/>
  <c r="D64" i="3"/>
  <c r="E71" i="3"/>
  <c r="D76" i="3"/>
  <c r="E83" i="3"/>
  <c r="D88" i="3"/>
  <c r="E95" i="3"/>
  <c r="D100" i="3"/>
  <c r="E107" i="3"/>
  <c r="D112" i="3"/>
  <c r="E119" i="3"/>
  <c r="D124" i="3"/>
  <c r="E131" i="3"/>
  <c r="D136" i="3"/>
  <c r="E143" i="3"/>
  <c r="D148" i="3"/>
  <c r="E155" i="3"/>
  <c r="D160" i="3"/>
  <c r="E167" i="3"/>
  <c r="D172" i="3"/>
  <c r="E179" i="3"/>
  <c r="D184" i="3"/>
  <c r="E191" i="3"/>
  <c r="D196" i="3"/>
  <c r="E203" i="3"/>
  <c r="D208" i="3"/>
  <c r="E215" i="3"/>
  <c r="D220" i="3"/>
  <c r="E227" i="3"/>
  <c r="D232" i="3"/>
  <c r="E4" i="3"/>
  <c r="D9" i="3"/>
  <c r="E16" i="3"/>
  <c r="D21" i="3"/>
  <c r="E28" i="3"/>
  <c r="D33" i="3"/>
  <c r="E40" i="3"/>
  <c r="D45" i="3"/>
  <c r="E52" i="3"/>
  <c r="D57" i="3"/>
  <c r="E64" i="3"/>
  <c r="D69" i="3"/>
  <c r="E76" i="3"/>
  <c r="D81" i="3"/>
  <c r="E88" i="3"/>
  <c r="D93" i="3"/>
  <c r="E100" i="3"/>
  <c r="D105" i="3"/>
  <c r="E112" i="3"/>
  <c r="D117" i="3"/>
  <c r="E124" i="3"/>
  <c r="D129" i="3"/>
  <c r="E136" i="3"/>
  <c r="D141" i="3"/>
  <c r="E148" i="3"/>
  <c r="D153" i="3"/>
  <c r="E160" i="3"/>
  <c r="D165" i="3"/>
  <c r="E172" i="3"/>
  <c r="D177" i="3"/>
  <c r="E184" i="3"/>
  <c r="D189" i="3"/>
  <c r="E196" i="3"/>
  <c r="D201" i="3"/>
  <c r="E208" i="3"/>
  <c r="D213" i="3"/>
  <c r="E220" i="3"/>
  <c r="D225" i="3"/>
  <c r="E232" i="3"/>
  <c r="E9" i="3"/>
  <c r="D14" i="3"/>
  <c r="E21" i="3"/>
  <c r="D26" i="3"/>
  <c r="E33" i="3"/>
  <c r="D38" i="3"/>
  <c r="E45" i="3"/>
  <c r="D50" i="3"/>
  <c r="E57" i="3"/>
  <c r="D62" i="3"/>
  <c r="E69" i="3"/>
  <c r="D74" i="3"/>
  <c r="E81" i="3"/>
  <c r="D86" i="3"/>
  <c r="E93" i="3"/>
  <c r="D98" i="3"/>
  <c r="E105" i="3"/>
  <c r="D110" i="3"/>
  <c r="E117" i="3"/>
  <c r="D122" i="3"/>
  <c r="E129" i="3"/>
  <c r="D134" i="3"/>
  <c r="E141" i="3"/>
  <c r="D146" i="3"/>
  <c r="E153" i="3"/>
  <c r="D158" i="3"/>
  <c r="E165" i="3"/>
  <c r="D170" i="3"/>
  <c r="E177" i="3"/>
  <c r="D182" i="3"/>
  <c r="E189" i="3"/>
  <c r="D194" i="3"/>
  <c r="E201" i="3"/>
  <c r="D206" i="3"/>
  <c r="E213" i="3"/>
  <c r="D218" i="3"/>
  <c r="E225" i="3"/>
  <c r="D230" i="3"/>
  <c r="D7" i="3"/>
  <c r="E14" i="3"/>
  <c r="D19" i="3"/>
  <c r="E26" i="3"/>
  <c r="D31" i="3"/>
  <c r="E38" i="3"/>
  <c r="D43" i="3"/>
  <c r="E50" i="3"/>
  <c r="D55" i="3"/>
  <c r="E62" i="3"/>
  <c r="D67" i="3"/>
  <c r="E74" i="3"/>
  <c r="D79" i="3"/>
  <c r="E86" i="3"/>
  <c r="D91" i="3"/>
  <c r="E98" i="3"/>
  <c r="D103" i="3"/>
  <c r="E110" i="3"/>
  <c r="D115" i="3"/>
  <c r="E122" i="3"/>
  <c r="D127" i="3"/>
  <c r="E134" i="3"/>
  <c r="D139" i="3"/>
  <c r="E146" i="3"/>
  <c r="E7" i="3"/>
  <c r="D12" i="3"/>
  <c r="E19" i="3"/>
  <c r="D24" i="3"/>
  <c r="E31" i="3"/>
  <c r="D36" i="3"/>
  <c r="E43" i="3"/>
  <c r="D48" i="3"/>
  <c r="E55" i="3"/>
  <c r="D60" i="3"/>
  <c r="E67" i="3"/>
  <c r="D72" i="3"/>
  <c r="E79" i="3"/>
  <c r="D84" i="3"/>
  <c r="E91" i="3"/>
  <c r="D96" i="3"/>
  <c r="E103" i="3"/>
  <c r="D108" i="3"/>
  <c r="E115" i="3"/>
  <c r="D120" i="3"/>
  <c r="E127" i="3"/>
  <c r="D132" i="3"/>
  <c r="E139" i="3"/>
  <c r="D144" i="3"/>
  <c r="E151" i="3"/>
  <c r="D156" i="3"/>
  <c r="E163" i="3"/>
  <c r="D168" i="3"/>
  <c r="E175" i="3"/>
  <c r="D180" i="3"/>
  <c r="E187" i="3"/>
  <c r="D192" i="3"/>
  <c r="E199" i="3"/>
  <c r="D204" i="3"/>
  <c r="E211" i="3"/>
  <c r="D216" i="3"/>
  <c r="E223" i="3"/>
  <c r="D228" i="3"/>
  <c r="D5" i="3"/>
  <c r="E12" i="3"/>
  <c r="D17" i="3"/>
  <c r="E24" i="3"/>
  <c r="D29" i="3"/>
  <c r="E36" i="3"/>
  <c r="D41" i="3"/>
  <c r="E48" i="3"/>
  <c r="D53" i="3"/>
  <c r="E60" i="3"/>
  <c r="D65" i="3"/>
  <c r="E72" i="3"/>
  <c r="D77" i="3"/>
  <c r="E84" i="3"/>
  <c r="D89" i="3"/>
  <c r="E96" i="3"/>
  <c r="D101" i="3"/>
  <c r="E108" i="3"/>
  <c r="D113" i="3"/>
  <c r="E120" i="3"/>
  <c r="D125" i="3"/>
  <c r="E132" i="3"/>
  <c r="D137" i="3"/>
  <c r="E144" i="3"/>
  <c r="D149" i="3"/>
  <c r="E156" i="3"/>
  <c r="D161" i="3"/>
  <c r="E168" i="3"/>
  <c r="D173" i="3"/>
  <c r="E180" i="3"/>
  <c r="D185" i="3"/>
  <c r="E192" i="3"/>
  <c r="D197" i="3"/>
  <c r="E204" i="3"/>
  <c r="D209" i="3"/>
  <c r="E216" i="3"/>
  <c r="D221" i="3"/>
  <c r="E228" i="3"/>
  <c r="D233" i="3"/>
  <c r="E5" i="3"/>
  <c r="D34" i="3"/>
  <c r="E149" i="3"/>
  <c r="E159" i="3"/>
  <c r="D199" i="3"/>
  <c r="E206" i="3"/>
  <c r="E231" i="3"/>
  <c r="E235" i="3"/>
  <c r="D238" i="3"/>
  <c r="E245" i="3"/>
  <c r="D250" i="3"/>
  <c r="E257" i="3"/>
  <c r="D262" i="3"/>
  <c r="E269" i="3"/>
  <c r="D274" i="3"/>
  <c r="E281" i="3"/>
  <c r="D286" i="3"/>
  <c r="E293" i="3"/>
  <c r="D298" i="3"/>
  <c r="E305" i="3"/>
  <c r="D310" i="3"/>
  <c r="E317" i="3"/>
  <c r="D322" i="3"/>
  <c r="E329" i="3"/>
  <c r="D334" i="3"/>
  <c r="E341" i="3"/>
  <c r="D346" i="3"/>
  <c r="E353" i="3"/>
  <c r="D358" i="3"/>
  <c r="E365" i="3"/>
  <c r="D370" i="3"/>
  <c r="E377" i="3"/>
  <c r="D382" i="3"/>
  <c r="E389" i="3"/>
  <c r="D394" i="3"/>
  <c r="E65" i="3"/>
  <c r="D94" i="3"/>
  <c r="D151" i="3"/>
  <c r="E170" i="3"/>
  <c r="D178" i="3"/>
  <c r="E185" i="3"/>
  <c r="D214" i="3"/>
  <c r="D226" i="3"/>
  <c r="E238" i="3"/>
  <c r="D243" i="3"/>
  <c r="E250" i="3"/>
  <c r="D255" i="3"/>
  <c r="E262" i="3"/>
  <c r="D267" i="3"/>
  <c r="E274" i="3"/>
  <c r="D279" i="3"/>
  <c r="E286" i="3"/>
  <c r="D291" i="3"/>
  <c r="E298" i="3"/>
  <c r="D303" i="3"/>
  <c r="E310" i="3"/>
  <c r="D315" i="3"/>
  <c r="E322" i="3"/>
  <c r="D327" i="3"/>
  <c r="E334" i="3"/>
  <c r="D339" i="3"/>
  <c r="E346" i="3"/>
  <c r="D351" i="3"/>
  <c r="E358" i="3"/>
  <c r="D363" i="3"/>
  <c r="E370" i="3"/>
  <c r="D375" i="3"/>
  <c r="E382" i="3"/>
  <c r="D387" i="3"/>
  <c r="E394" i="3"/>
  <c r="D399" i="3"/>
  <c r="E406" i="3"/>
  <c r="D411" i="3"/>
  <c r="E418" i="3"/>
  <c r="D423" i="3"/>
  <c r="D10" i="3"/>
  <c r="E125" i="3"/>
  <c r="E161" i="3"/>
  <c r="D200" i="3"/>
  <c r="E207" i="3"/>
  <c r="E243" i="3"/>
  <c r="D248" i="3"/>
  <c r="E255" i="3"/>
  <c r="D260" i="3"/>
  <c r="E267" i="3"/>
  <c r="D272" i="3"/>
  <c r="E279" i="3"/>
  <c r="D284" i="3"/>
  <c r="E291" i="3"/>
  <c r="D296" i="3"/>
  <c r="E303" i="3"/>
  <c r="D308" i="3"/>
  <c r="E41" i="3"/>
  <c r="D70" i="3"/>
  <c r="D152" i="3"/>
  <c r="E171" i="3"/>
  <c r="D179" i="3"/>
  <c r="E186" i="3"/>
  <c r="D215" i="3"/>
  <c r="E221" i="3"/>
  <c r="D241" i="3"/>
  <c r="E248" i="3"/>
  <c r="D253" i="3"/>
  <c r="E260" i="3"/>
  <c r="D265" i="3"/>
  <c r="E272" i="3"/>
  <c r="D277" i="3"/>
  <c r="E284" i="3"/>
  <c r="D289" i="3"/>
  <c r="E296" i="3"/>
  <c r="D301" i="3"/>
  <c r="E308" i="3"/>
  <c r="D313" i="3"/>
  <c r="E320" i="3"/>
  <c r="D325" i="3"/>
  <c r="E332" i="3"/>
  <c r="D337" i="3"/>
  <c r="E344" i="3"/>
  <c r="D349" i="3"/>
  <c r="E356" i="3"/>
  <c r="D361" i="3"/>
  <c r="E368" i="3"/>
  <c r="D373" i="3"/>
  <c r="E380" i="3"/>
  <c r="D385" i="3"/>
  <c r="E392" i="3"/>
  <c r="D397" i="3"/>
  <c r="E404" i="3"/>
  <c r="D409" i="3"/>
  <c r="E416" i="3"/>
  <c r="D421" i="3"/>
  <c r="E428" i="3"/>
  <c r="E101" i="3"/>
  <c r="D130" i="3"/>
  <c r="D163" i="3"/>
  <c r="D187" i="3"/>
  <c r="E194" i="3"/>
  <c r="D227" i="3"/>
  <c r="D236" i="3"/>
  <c r="E241" i="3"/>
  <c r="D246" i="3"/>
  <c r="E253" i="3"/>
  <c r="D258" i="3"/>
  <c r="E265" i="3"/>
  <c r="D270" i="3"/>
  <c r="E277" i="3"/>
  <c r="D282" i="3"/>
  <c r="E289" i="3"/>
  <c r="D294" i="3"/>
  <c r="E301" i="3"/>
  <c r="D306" i="3"/>
  <c r="E313" i="3"/>
  <c r="D318" i="3"/>
  <c r="E325" i="3"/>
  <c r="D330" i="3"/>
  <c r="E337" i="3"/>
  <c r="D342" i="3"/>
  <c r="E349" i="3"/>
  <c r="D354" i="3"/>
  <c r="E361" i="3"/>
  <c r="D366" i="3"/>
  <c r="E373" i="3"/>
  <c r="D378" i="3"/>
  <c r="E385" i="3"/>
  <c r="D390" i="3"/>
  <c r="E397" i="3"/>
  <c r="D402" i="3"/>
  <c r="E17" i="3"/>
  <c r="D46" i="3"/>
  <c r="D154" i="3"/>
  <c r="E173" i="3"/>
  <c r="D202" i="3"/>
  <c r="E209" i="3"/>
  <c r="D222" i="3"/>
  <c r="E233" i="3"/>
  <c r="D239" i="3"/>
  <c r="E246" i="3"/>
  <c r="D251" i="3"/>
  <c r="E258" i="3"/>
  <c r="D263" i="3"/>
  <c r="E270" i="3"/>
  <c r="D275" i="3"/>
  <c r="E282" i="3"/>
  <c r="D287" i="3"/>
  <c r="E294" i="3"/>
  <c r="D299" i="3"/>
  <c r="E306" i="3"/>
  <c r="D311" i="3"/>
  <c r="E318" i="3"/>
  <c r="D323" i="3"/>
  <c r="E330" i="3"/>
  <c r="D335" i="3"/>
  <c r="E342" i="3"/>
  <c r="D347" i="3"/>
  <c r="E354" i="3"/>
  <c r="D359" i="3"/>
  <c r="E366" i="3"/>
  <c r="D371" i="3"/>
  <c r="E378" i="3"/>
  <c r="D383" i="3"/>
  <c r="E390" i="3"/>
  <c r="D395" i="3"/>
  <c r="E402" i="3"/>
  <c r="D407" i="3"/>
  <c r="E414" i="3"/>
  <c r="D419" i="3"/>
  <c r="E426" i="3"/>
  <c r="E77" i="3"/>
  <c r="D106" i="3"/>
  <c r="D164" i="3"/>
  <c r="D188" i="3"/>
  <c r="E195" i="3"/>
  <c r="E222" i="3"/>
  <c r="E239" i="3"/>
  <c r="D244" i="3"/>
  <c r="E251" i="3"/>
  <c r="D256" i="3"/>
  <c r="E263" i="3"/>
  <c r="D268" i="3"/>
  <c r="E275" i="3"/>
  <c r="D280" i="3"/>
  <c r="E287" i="3"/>
  <c r="D292" i="3"/>
  <c r="E299" i="3"/>
  <c r="D304" i="3"/>
  <c r="E311" i="3"/>
  <c r="D316" i="3"/>
  <c r="E323" i="3"/>
  <c r="D328" i="3"/>
  <c r="E335" i="3"/>
  <c r="D340" i="3"/>
  <c r="E347" i="3"/>
  <c r="D352" i="3"/>
  <c r="E359" i="3"/>
  <c r="D364" i="3"/>
  <c r="E371" i="3"/>
  <c r="D376" i="3"/>
  <c r="E383" i="3"/>
  <c r="D388" i="3"/>
  <c r="E395" i="3"/>
  <c r="D400" i="3"/>
  <c r="E407" i="3"/>
  <c r="D412" i="3"/>
  <c r="E419" i="3"/>
  <c r="D424" i="3"/>
  <c r="D22" i="3"/>
  <c r="E137" i="3"/>
  <c r="E174" i="3"/>
  <c r="D203" i="3"/>
  <c r="E210" i="3"/>
  <c r="E217" i="3"/>
  <c r="D223" i="3"/>
  <c r="D234" i="3"/>
  <c r="D237" i="3"/>
  <c r="E244" i="3"/>
  <c r="D249" i="3"/>
  <c r="E256" i="3"/>
  <c r="D261" i="3"/>
  <c r="E268" i="3"/>
  <c r="D273" i="3"/>
  <c r="E280" i="3"/>
  <c r="D285" i="3"/>
  <c r="E292" i="3"/>
  <c r="D297" i="3"/>
  <c r="E304" i="3"/>
  <c r="D309" i="3"/>
  <c r="E316" i="3"/>
  <c r="D321" i="3"/>
  <c r="E328" i="3"/>
  <c r="D333" i="3"/>
  <c r="E340" i="3"/>
  <c r="D345" i="3"/>
  <c r="E352" i="3"/>
  <c r="D357" i="3"/>
  <c r="E364" i="3"/>
  <c r="D369" i="3"/>
  <c r="E376" i="3"/>
  <c r="D381" i="3"/>
  <c r="E388" i="3"/>
  <c r="D393" i="3"/>
  <c r="E400" i="3"/>
  <c r="D405" i="3"/>
  <c r="E412" i="3"/>
  <c r="D417" i="3"/>
  <c r="E424" i="3"/>
  <c r="D429" i="3"/>
  <c r="E53" i="3"/>
  <c r="D82" i="3"/>
  <c r="D166" i="3"/>
  <c r="D175" i="3"/>
  <c r="E182" i="3"/>
  <c r="D211" i="3"/>
  <c r="E229" i="3"/>
  <c r="E234" i="3"/>
  <c r="E237" i="3"/>
  <c r="D242" i="3"/>
  <c r="E249" i="3"/>
  <c r="D254" i="3"/>
  <c r="E261" i="3"/>
  <c r="D266" i="3"/>
  <c r="E273" i="3"/>
  <c r="D278" i="3"/>
  <c r="E285" i="3"/>
  <c r="D290" i="3"/>
  <c r="E297" i="3"/>
  <c r="D302" i="3"/>
  <c r="E113" i="3"/>
  <c r="D142" i="3"/>
  <c r="D190" i="3"/>
  <c r="E197" i="3"/>
  <c r="E218" i="3"/>
  <c r="D224" i="3"/>
  <c r="E242" i="3"/>
  <c r="D247" i="3"/>
  <c r="E254" i="3"/>
  <c r="D259" i="3"/>
  <c r="E266" i="3"/>
  <c r="D271" i="3"/>
  <c r="E278" i="3"/>
  <c r="D283" i="3"/>
  <c r="E290" i="3"/>
  <c r="D295" i="3"/>
  <c r="E302" i="3"/>
  <c r="D307" i="3"/>
  <c r="E314" i="3"/>
  <c r="D319" i="3"/>
  <c r="E326" i="3"/>
  <c r="D331" i="3"/>
  <c r="E338" i="3"/>
  <c r="D343" i="3"/>
  <c r="E350" i="3"/>
  <c r="D355" i="3"/>
  <c r="E362" i="3"/>
  <c r="D367" i="3"/>
  <c r="E374" i="3"/>
  <c r="D379" i="3"/>
  <c r="E386" i="3"/>
  <c r="D391" i="3"/>
  <c r="E89" i="3"/>
  <c r="D118" i="3"/>
  <c r="D191" i="3"/>
  <c r="E198" i="3"/>
  <c r="E219" i="3"/>
  <c r="D235" i="3"/>
  <c r="E240" i="3"/>
  <c r="D245" i="3"/>
  <c r="E252" i="3"/>
  <c r="D257" i="3"/>
  <c r="E264" i="3"/>
  <c r="D269" i="3"/>
  <c r="E276" i="3"/>
  <c r="D281" i="3"/>
  <c r="E288" i="3"/>
  <c r="D293" i="3"/>
  <c r="E300" i="3"/>
  <c r="D305" i="3"/>
  <c r="E312" i="3"/>
  <c r="D317" i="3"/>
  <c r="E324" i="3"/>
  <c r="D329" i="3"/>
  <c r="E336" i="3"/>
  <c r="D341" i="3"/>
  <c r="E348" i="3"/>
  <c r="D353" i="3"/>
  <c r="E360" i="3"/>
  <c r="D365" i="3"/>
  <c r="E372" i="3"/>
  <c r="D377" i="3"/>
  <c r="E384" i="3"/>
  <c r="D389" i="3"/>
  <c r="E396" i="3"/>
  <c r="D401" i="3"/>
  <c r="E408" i="3"/>
  <c r="D413" i="3"/>
  <c r="E420" i="3"/>
  <c r="D425" i="3"/>
  <c r="D58" i="3"/>
  <c r="E319" i="3"/>
  <c r="D348" i="3"/>
  <c r="E367" i="3"/>
  <c r="D396" i="3"/>
  <c r="D403" i="3"/>
  <c r="E413" i="3"/>
  <c r="D418" i="3"/>
  <c r="E431" i="3"/>
  <c r="D436" i="3"/>
  <c r="E443" i="3"/>
  <c r="D448" i="3"/>
  <c r="E455" i="3"/>
  <c r="D460" i="3"/>
  <c r="E467" i="3"/>
  <c r="D472" i="3"/>
  <c r="E479" i="3"/>
  <c r="D484" i="3"/>
  <c r="E491" i="3"/>
  <c r="D496" i="3"/>
  <c r="E503" i="3"/>
  <c r="D508" i="3"/>
  <c r="E515" i="3"/>
  <c r="D520" i="3"/>
  <c r="E527" i="3"/>
  <c r="D532" i="3"/>
  <c r="E539" i="3"/>
  <c r="D544" i="3"/>
  <c r="E551" i="3"/>
  <c r="D556" i="3"/>
  <c r="E563" i="3"/>
  <c r="D568" i="3"/>
  <c r="E259" i="3"/>
  <c r="D288" i="3"/>
  <c r="D320" i="3"/>
  <c r="E339" i="3"/>
  <c r="D368" i="3"/>
  <c r="E387" i="3"/>
  <c r="E403" i="3"/>
  <c r="E423" i="3"/>
  <c r="E230" i="3"/>
  <c r="E321" i="3"/>
  <c r="D350" i="3"/>
  <c r="E369" i="3"/>
  <c r="D398" i="3"/>
  <c r="E409" i="3"/>
  <c r="D414" i="3"/>
  <c r="D434" i="3"/>
  <c r="E441" i="3"/>
  <c r="D446" i="3"/>
  <c r="E453" i="3"/>
  <c r="D458" i="3"/>
  <c r="E465" i="3"/>
  <c r="D470" i="3"/>
  <c r="E477" i="3"/>
  <c r="D482" i="3"/>
  <c r="E489" i="3"/>
  <c r="D494" i="3"/>
  <c r="E501" i="3"/>
  <c r="D506" i="3"/>
  <c r="E513" i="3"/>
  <c r="D518" i="3"/>
  <c r="D264" i="3"/>
  <c r="D312" i="3"/>
  <c r="E331" i="3"/>
  <c r="D360" i="3"/>
  <c r="E379" i="3"/>
  <c r="E398" i="3"/>
  <c r="D404" i="3"/>
  <c r="D410" i="3"/>
  <c r="E429" i="3"/>
  <c r="E434" i="3"/>
  <c r="D439" i="3"/>
  <c r="E446" i="3"/>
  <c r="D451" i="3"/>
  <c r="E458" i="3"/>
  <c r="D463" i="3"/>
  <c r="E470" i="3"/>
  <c r="D475" i="3"/>
  <c r="E482" i="3"/>
  <c r="D487" i="3"/>
  <c r="E494" i="3"/>
  <c r="D499" i="3"/>
  <c r="E506" i="3"/>
  <c r="D511" i="3"/>
  <c r="E518" i="3"/>
  <c r="D523" i="3"/>
  <c r="E530" i="3"/>
  <c r="D535" i="3"/>
  <c r="E542" i="3"/>
  <c r="D547" i="3"/>
  <c r="E554" i="3"/>
  <c r="D559" i="3"/>
  <c r="E566" i="3"/>
  <c r="D571" i="3"/>
  <c r="D435" i="3"/>
  <c r="D459" i="3"/>
  <c r="D483" i="3"/>
  <c r="E158" i="3"/>
  <c r="E295" i="3"/>
  <c r="D332" i="3"/>
  <c r="E351" i="3"/>
  <c r="D380" i="3"/>
  <c r="E405" i="3"/>
  <c r="E410" i="3"/>
  <c r="D415" i="3"/>
  <c r="D432" i="3"/>
  <c r="E439" i="3"/>
  <c r="D444" i="3"/>
  <c r="E451" i="3"/>
  <c r="D456" i="3"/>
  <c r="E463" i="3"/>
  <c r="D468" i="3"/>
  <c r="E475" i="3"/>
  <c r="D480" i="3"/>
  <c r="E487" i="3"/>
  <c r="D492" i="3"/>
  <c r="E499" i="3"/>
  <c r="D504" i="3"/>
  <c r="E511" i="3"/>
  <c r="D516" i="3"/>
  <c r="E523" i="3"/>
  <c r="D528" i="3"/>
  <c r="E535" i="3"/>
  <c r="D540" i="3"/>
  <c r="E547" i="3"/>
  <c r="D552" i="3"/>
  <c r="E559" i="3"/>
  <c r="D564" i="3"/>
  <c r="E571" i="3"/>
  <c r="E363" i="3"/>
  <c r="D392" i="3"/>
  <c r="E411" i="3"/>
  <c r="E454" i="3"/>
  <c r="D471" i="3"/>
  <c r="D240" i="3"/>
  <c r="D314" i="3"/>
  <c r="E333" i="3"/>
  <c r="D362" i="3"/>
  <c r="E381" i="3"/>
  <c r="E399" i="3"/>
  <c r="E415" i="3"/>
  <c r="D420" i="3"/>
  <c r="E432" i="3"/>
  <c r="D437" i="3"/>
  <c r="E444" i="3"/>
  <c r="D449" i="3"/>
  <c r="E456" i="3"/>
  <c r="D461" i="3"/>
  <c r="E468" i="3"/>
  <c r="D473" i="3"/>
  <c r="E480" i="3"/>
  <c r="D485" i="3"/>
  <c r="E492" i="3"/>
  <c r="D497" i="3"/>
  <c r="E504" i="3"/>
  <c r="D509" i="3"/>
  <c r="E516" i="3"/>
  <c r="D521" i="3"/>
  <c r="E528" i="3"/>
  <c r="D533" i="3"/>
  <c r="E540" i="3"/>
  <c r="D545" i="3"/>
  <c r="E552" i="3"/>
  <c r="D557" i="3"/>
  <c r="E564" i="3"/>
  <c r="D569" i="3"/>
  <c r="E315" i="3"/>
  <c r="D416" i="3"/>
  <c r="E430" i="3"/>
  <c r="E442" i="3"/>
  <c r="E478" i="3"/>
  <c r="E490" i="3"/>
  <c r="D176" i="3"/>
  <c r="E271" i="3"/>
  <c r="D300" i="3"/>
  <c r="D324" i="3"/>
  <c r="E343" i="3"/>
  <c r="D372" i="3"/>
  <c r="E391" i="3"/>
  <c r="E425" i="3"/>
  <c r="D430" i="3"/>
  <c r="E437" i="3"/>
  <c r="D442" i="3"/>
  <c r="E449" i="3"/>
  <c r="D454" i="3"/>
  <c r="E461" i="3"/>
  <c r="D466" i="3"/>
  <c r="E473" i="3"/>
  <c r="D478" i="3"/>
  <c r="E485" i="3"/>
  <c r="D490" i="3"/>
  <c r="E497" i="3"/>
  <c r="D502" i="3"/>
  <c r="E509" i="3"/>
  <c r="D514" i="3"/>
  <c r="E521" i="3"/>
  <c r="D526" i="3"/>
  <c r="E533" i="3"/>
  <c r="D538" i="3"/>
  <c r="E545" i="3"/>
  <c r="D550" i="3"/>
  <c r="E557" i="3"/>
  <c r="D562" i="3"/>
  <c r="E569" i="3"/>
  <c r="E183" i="3"/>
  <c r="D344" i="3"/>
  <c r="D406" i="3"/>
  <c r="D447" i="3"/>
  <c r="E466" i="3"/>
  <c r="E247" i="3"/>
  <c r="D252" i="3"/>
  <c r="E307" i="3"/>
  <c r="E327" i="3"/>
  <c r="D356" i="3"/>
  <c r="E375" i="3"/>
  <c r="E422" i="3"/>
  <c r="D427" i="3"/>
  <c r="E433" i="3"/>
  <c r="D438" i="3"/>
  <c r="E445" i="3"/>
  <c r="D450" i="3"/>
  <c r="E457" i="3"/>
  <c r="D462" i="3"/>
  <c r="E469" i="3"/>
  <c r="D474" i="3"/>
  <c r="E481" i="3"/>
  <c r="D486" i="3"/>
  <c r="E493" i="3"/>
  <c r="D498" i="3"/>
  <c r="E505" i="3"/>
  <c r="D510" i="3"/>
  <c r="E517" i="3"/>
  <c r="D522" i="3"/>
  <c r="E529" i="3"/>
  <c r="D534" i="3"/>
  <c r="E541" i="3"/>
  <c r="D546" i="3"/>
  <c r="E553" i="3"/>
  <c r="D558" i="3"/>
  <c r="E565" i="3"/>
  <c r="D570" i="3"/>
  <c r="E29" i="3"/>
  <c r="D212" i="3"/>
  <c r="E283" i="3"/>
  <c r="E309" i="3"/>
  <c r="D338" i="3"/>
  <c r="E357" i="3"/>
  <c r="D386" i="3"/>
  <c r="D408" i="3"/>
  <c r="E427" i="3"/>
  <c r="E345" i="3"/>
  <c r="D443" i="3"/>
  <c r="D479" i="3"/>
  <c r="D517" i="3"/>
  <c r="D527" i="3"/>
  <c r="E546" i="3"/>
  <c r="D566" i="3"/>
  <c r="D428" i="3"/>
  <c r="E436" i="3"/>
  <c r="D465" i="3"/>
  <c r="E472" i="3"/>
  <c r="E500" i="3"/>
  <c r="D512" i="3"/>
  <c r="E532" i="3"/>
  <c r="D537" i="3"/>
  <c r="E556" i="3"/>
  <c r="D561" i="3"/>
  <c r="D276" i="3"/>
  <c r="E401" i="3"/>
  <c r="D452" i="3"/>
  <c r="E459" i="3"/>
  <c r="D488" i="3"/>
  <c r="D495" i="3"/>
  <c r="D507" i="3"/>
  <c r="E512" i="3"/>
  <c r="E537" i="3"/>
  <c r="D542" i="3"/>
  <c r="E355" i="3"/>
  <c r="D445" i="3"/>
  <c r="E452" i="3"/>
  <c r="D481" i="3"/>
  <c r="E488" i="3"/>
  <c r="E495" i="3"/>
  <c r="D501" i="3"/>
  <c r="E507" i="3"/>
  <c r="D519" i="3"/>
  <c r="E538" i="3"/>
  <c r="D543" i="3"/>
  <c r="E562" i="3"/>
  <c r="D567" i="3"/>
  <c r="D548" i="3"/>
  <c r="D572" i="3"/>
  <c r="D515" i="3"/>
  <c r="D477" i="3"/>
  <c r="E393" i="3"/>
  <c r="E510" i="3"/>
  <c r="D431" i="3"/>
  <c r="E438" i="3"/>
  <c r="D467" i="3"/>
  <c r="E474" i="3"/>
  <c r="E502" i="3"/>
  <c r="D513" i="3"/>
  <c r="E519" i="3"/>
  <c r="D524" i="3"/>
  <c r="E543" i="3"/>
  <c r="E567" i="3"/>
  <c r="D455" i="3"/>
  <c r="E462" i="3"/>
  <c r="E484" i="3"/>
  <c r="D531" i="3"/>
  <c r="D422" i="3"/>
  <c r="E471" i="3"/>
  <c r="E555" i="3"/>
  <c r="D453" i="3"/>
  <c r="E460" i="3"/>
  <c r="D489" i="3"/>
  <c r="E514" i="3"/>
  <c r="E524" i="3"/>
  <c r="D529" i="3"/>
  <c r="E548" i="3"/>
  <c r="D553" i="3"/>
  <c r="E572" i="3"/>
  <c r="D539" i="3"/>
  <c r="D563" i="3"/>
  <c r="D491" i="3"/>
  <c r="E525" i="3"/>
  <c r="E549" i="3"/>
  <c r="E550" i="3"/>
  <c r="D536" i="3"/>
  <c r="D560" i="3"/>
  <c r="D374" i="3"/>
  <c r="D440" i="3"/>
  <c r="E447" i="3"/>
  <c r="D476" i="3"/>
  <c r="E483" i="3"/>
  <c r="E496" i="3"/>
  <c r="E508" i="3"/>
  <c r="E534" i="3"/>
  <c r="E558" i="3"/>
  <c r="D530" i="3"/>
  <c r="D554" i="3"/>
  <c r="E526" i="3"/>
  <c r="D555" i="3"/>
  <c r="E531" i="3"/>
  <c r="D433" i="3"/>
  <c r="E440" i="3"/>
  <c r="D469" i="3"/>
  <c r="E476" i="3"/>
  <c r="D503" i="3"/>
  <c r="E520" i="3"/>
  <c r="D525" i="3"/>
  <c r="E544" i="3"/>
  <c r="D549" i="3"/>
  <c r="E568" i="3"/>
  <c r="D326" i="3"/>
  <c r="E417" i="3"/>
  <c r="E498" i="3"/>
  <c r="E435" i="3"/>
  <c r="D464" i="3"/>
  <c r="D384" i="3"/>
  <c r="E421" i="3"/>
  <c r="D441" i="3"/>
  <c r="E448" i="3"/>
  <c r="D336" i="3"/>
  <c r="D426" i="3"/>
  <c r="D457" i="3"/>
  <c r="E464" i="3"/>
  <c r="D493" i="3"/>
  <c r="D505" i="3"/>
  <c r="E536" i="3"/>
  <c r="D541" i="3"/>
  <c r="E560" i="3"/>
  <c r="D565" i="3"/>
  <c r="E450" i="3"/>
  <c r="E486" i="3"/>
  <c r="D500" i="3"/>
  <c r="E522" i="3"/>
  <c r="D551" i="3"/>
  <c r="E570" i="3"/>
  <c r="E561" i="3"/>
  <c r="D2" i="3"/>
  <c r="E2" i="3"/>
  <c r="E107" i="2"/>
  <c r="D28" i="2"/>
  <c r="E30" i="2"/>
  <c r="E53" i="2"/>
  <c r="E146" i="2"/>
  <c r="D130" i="2"/>
  <c r="E123" i="2"/>
  <c r="E140" i="2"/>
  <c r="D37" i="2"/>
  <c r="E152" i="2"/>
  <c r="E136" i="2"/>
  <c r="E38" i="2"/>
  <c r="D164" i="2"/>
  <c r="D19" i="2"/>
  <c r="E142" i="2"/>
  <c r="D14" i="2"/>
  <c r="E5" i="2"/>
  <c r="E113" i="2"/>
  <c r="E15" i="2"/>
  <c r="D155" i="2"/>
  <c r="D141" i="2"/>
  <c r="E166" i="2"/>
  <c r="D75" i="2"/>
  <c r="D98" i="2"/>
  <c r="E33" i="2"/>
  <c r="D109" i="2"/>
  <c r="E46" i="2"/>
  <c r="E161" i="2"/>
  <c r="E63" i="2"/>
  <c r="D127" i="2"/>
  <c r="D95" i="2"/>
  <c r="E35" i="2"/>
  <c r="D24" i="2"/>
  <c r="E96" i="2"/>
  <c r="D110" i="2"/>
  <c r="D92" i="2"/>
  <c r="D142" i="2"/>
  <c r="E17" i="2"/>
  <c r="E25" i="2"/>
  <c r="D125" i="2"/>
  <c r="E31" i="2"/>
  <c r="E6" i="2"/>
  <c r="E99" i="2"/>
  <c r="D104" i="2"/>
  <c r="D26" i="2"/>
  <c r="E105" i="2"/>
  <c r="D181" i="2"/>
  <c r="E117" i="2"/>
  <c r="E89" i="2"/>
  <c r="E182" i="2"/>
  <c r="D83" i="2"/>
  <c r="E69" i="2"/>
  <c r="E36" i="2"/>
  <c r="D41" i="2"/>
  <c r="E120" i="2"/>
  <c r="E66" i="2"/>
  <c r="E174" i="2"/>
  <c r="D69" i="2"/>
  <c r="E83" i="2"/>
  <c r="E72" i="2"/>
  <c r="D65" i="2"/>
  <c r="D186" i="2"/>
  <c r="E177" i="2"/>
  <c r="D86" i="2"/>
  <c r="E114" i="2"/>
  <c r="D177" i="2"/>
  <c r="D77" i="2"/>
  <c r="D72" i="2"/>
  <c r="E62" i="2"/>
  <c r="E110" i="2"/>
  <c r="E95" i="2"/>
  <c r="D78" i="2"/>
  <c r="E145" i="2"/>
  <c r="E19" i="2"/>
  <c r="D60" i="2"/>
  <c r="D118" i="2"/>
  <c r="D17" i="2"/>
  <c r="E150" i="2"/>
  <c r="D158" i="2"/>
  <c r="E167" i="2"/>
  <c r="E42" i="2"/>
  <c r="E135" i="2"/>
  <c r="D176" i="2"/>
  <c r="D113" i="2"/>
  <c r="E171" i="2"/>
  <c r="D185" i="2"/>
  <c r="D12" i="2"/>
  <c r="E44" i="2"/>
  <c r="D120" i="2"/>
  <c r="D167" i="2"/>
  <c r="D66" i="2"/>
  <c r="E127" i="2"/>
  <c r="D18" i="2"/>
  <c r="D20" i="2"/>
  <c r="E34" i="2"/>
  <c r="D63" i="2"/>
  <c r="E51" i="2"/>
  <c r="E92" i="2"/>
  <c r="D168" i="2"/>
  <c r="D34" i="2"/>
  <c r="D9" i="2"/>
  <c r="E8" i="2"/>
  <c r="D57" i="2"/>
  <c r="D171" i="2"/>
  <c r="E76" i="2"/>
  <c r="E73" i="2"/>
  <c r="D55" i="2"/>
  <c r="E170" i="2"/>
  <c r="E128" i="2"/>
  <c r="D25" i="2"/>
  <c r="D143" i="2"/>
  <c r="D91" i="2"/>
  <c r="E106" i="2"/>
  <c r="D16" i="2"/>
  <c r="E179" i="2"/>
  <c r="E20" i="2"/>
  <c r="D96" i="2"/>
  <c r="D71" i="2"/>
  <c r="D44" i="2"/>
  <c r="E48" i="2"/>
  <c r="D138" i="2"/>
  <c r="D123" i="2"/>
  <c r="E9" i="2"/>
  <c r="D85" i="2"/>
  <c r="D58" i="2"/>
  <c r="D46" i="2"/>
  <c r="E108" i="2"/>
  <c r="D162" i="2"/>
  <c r="E71" i="2"/>
  <c r="E178" i="2"/>
  <c r="D99" i="2"/>
  <c r="D87" i="2"/>
  <c r="E57" i="2"/>
  <c r="D133" i="2"/>
  <c r="D23" i="2"/>
  <c r="E49" i="2"/>
  <c r="E169" i="2"/>
  <c r="E160" i="2"/>
  <c r="D153" i="2"/>
  <c r="E88" i="2"/>
  <c r="E79" i="2"/>
  <c r="D68" i="2"/>
  <c r="D49" i="2"/>
  <c r="E93" i="2"/>
  <c r="D169" i="2"/>
  <c r="D179" i="2"/>
  <c r="D152" i="2"/>
  <c r="E143" i="2"/>
  <c r="D184" i="2"/>
  <c r="E26" i="2"/>
  <c r="E164" i="2"/>
  <c r="D61" i="2"/>
  <c r="D21" i="2"/>
  <c r="E4" i="2"/>
  <c r="E186" i="2"/>
  <c r="D115" i="2"/>
  <c r="D129" i="2"/>
  <c r="E153" i="2"/>
  <c r="D62" i="2"/>
  <c r="D10" i="2"/>
  <c r="E28" i="2"/>
  <c r="E115" i="2"/>
  <c r="D151" i="2"/>
  <c r="E122" i="2"/>
  <c r="D175" i="2"/>
  <c r="E91" i="2"/>
  <c r="E61" i="2"/>
  <c r="E41" i="2"/>
  <c r="E134" i="2"/>
  <c r="D70" i="2"/>
  <c r="D76" i="2"/>
  <c r="E159" i="2"/>
  <c r="D146" i="2"/>
  <c r="E2" i="2"/>
  <c r="D43" i="2"/>
  <c r="E121" i="2"/>
  <c r="D149" i="2"/>
  <c r="D84" i="2"/>
  <c r="E129" i="2"/>
  <c r="D38" i="2"/>
  <c r="D7" i="2"/>
  <c r="E148" i="2"/>
  <c r="E50" i="2"/>
  <c r="D33" i="2"/>
  <c r="D5" i="2"/>
  <c r="E10" i="2"/>
  <c r="D27" i="2"/>
  <c r="D64" i="2"/>
  <c r="E172" i="2"/>
  <c r="E74" i="2"/>
  <c r="D81" i="2"/>
  <c r="E75" i="2"/>
  <c r="E11" i="2"/>
  <c r="D30" i="2"/>
  <c r="D166" i="2"/>
  <c r="E58" i="2"/>
  <c r="D111" i="2"/>
  <c r="E29" i="2"/>
  <c r="E173" i="2"/>
  <c r="E100" i="2"/>
  <c r="D42" i="2"/>
  <c r="E68" i="2"/>
  <c r="E185" i="2"/>
  <c r="E87" i="2"/>
  <c r="D80" i="2"/>
  <c r="D161" i="2"/>
  <c r="E94" i="2"/>
  <c r="D183" i="2"/>
  <c r="D116" i="2"/>
  <c r="D22" i="2"/>
  <c r="E155" i="2"/>
  <c r="D102" i="2"/>
  <c r="D170" i="2"/>
  <c r="E103" i="2"/>
  <c r="D182" i="2"/>
  <c r="D136" i="2"/>
  <c r="E101" i="2"/>
  <c r="E3" i="2"/>
  <c r="D107" i="2"/>
  <c r="E168" i="2"/>
  <c r="E154" i="2"/>
  <c r="D39" i="2"/>
  <c r="D11" i="2"/>
  <c r="E125" i="2"/>
  <c r="E27" i="2"/>
  <c r="D40" i="2"/>
  <c r="D122" i="2"/>
  <c r="E132" i="2"/>
  <c r="D174" i="2"/>
  <c r="E70" i="2"/>
  <c r="E59" i="2"/>
  <c r="D147" i="2"/>
  <c r="D2" i="2"/>
  <c r="D15" i="2"/>
  <c r="E13" i="2"/>
  <c r="E162" i="2"/>
  <c r="D48" i="2"/>
  <c r="D82" i="2"/>
  <c r="D140" i="2"/>
  <c r="E131" i="2"/>
  <c r="D88" i="2"/>
  <c r="D154" i="2"/>
  <c r="D6" i="2"/>
  <c r="E133" i="2"/>
  <c r="D79" i="2"/>
  <c r="D114" i="2"/>
  <c r="E130" i="2"/>
  <c r="D160" i="2"/>
  <c r="E80" i="2"/>
  <c r="E54" i="2"/>
  <c r="E147" i="2"/>
  <c r="D45" i="2"/>
  <c r="D135" i="2"/>
  <c r="E60" i="2"/>
  <c r="D53" i="2"/>
  <c r="D117" i="2"/>
  <c r="E78" i="2"/>
  <c r="E55" i="2"/>
  <c r="D93" i="2"/>
  <c r="E40" i="2"/>
  <c r="E163" i="2"/>
  <c r="D163" i="2"/>
  <c r="E43" i="2"/>
  <c r="E144" i="2"/>
  <c r="D101" i="2"/>
  <c r="E126" i="2"/>
  <c r="D159" i="2"/>
  <c r="D103" i="2"/>
  <c r="D51" i="2"/>
  <c r="E116" i="2"/>
  <c r="D13" i="2"/>
  <c r="D59" i="2"/>
  <c r="D35" i="2"/>
  <c r="E85" i="2"/>
  <c r="D137" i="2"/>
  <c r="D52" i="2"/>
  <c r="E112" i="2"/>
  <c r="E14" i="2"/>
  <c r="D178" i="2"/>
  <c r="D47" i="2"/>
  <c r="E12" i="2"/>
  <c r="D29" i="2"/>
  <c r="E23" i="2"/>
  <c r="E32" i="2"/>
  <c r="D108" i="2"/>
  <c r="D119" i="2"/>
  <c r="D56" i="2"/>
  <c r="E7" i="2"/>
  <c r="D112" i="2"/>
  <c r="E102" i="2"/>
  <c r="E56" i="2"/>
  <c r="D132" i="2"/>
  <c r="D94" i="2"/>
  <c r="E184" i="2"/>
  <c r="E86" i="2"/>
  <c r="D105" i="2"/>
  <c r="D36" i="2"/>
  <c r="E47" i="2"/>
  <c r="D54" i="2"/>
  <c r="E104" i="2"/>
  <c r="D31" i="2"/>
  <c r="E124" i="2"/>
  <c r="D89" i="2"/>
  <c r="E81" i="2"/>
  <c r="D157" i="2"/>
  <c r="D131" i="2"/>
  <c r="D148" i="2"/>
  <c r="E119" i="2"/>
  <c r="D90" i="2"/>
  <c r="E77" i="2"/>
  <c r="E65" i="2"/>
  <c r="E158" i="2"/>
  <c r="D128" i="2"/>
  <c r="D172" i="2"/>
  <c r="E181" i="2"/>
  <c r="D173" i="2"/>
  <c r="E98" i="2"/>
  <c r="E176" i="2"/>
  <c r="D73" i="2"/>
  <c r="D165" i="2"/>
  <c r="D106" i="2"/>
  <c r="E84" i="2"/>
  <c r="D150" i="2"/>
  <c r="E156" i="2"/>
  <c r="E21" i="2"/>
  <c r="D97" i="2"/>
  <c r="D4" i="2"/>
  <c r="E137" i="2"/>
  <c r="E39" i="2"/>
  <c r="D124" i="2"/>
  <c r="E52" i="2"/>
  <c r="E180" i="2"/>
  <c r="E109" i="2"/>
  <c r="E151" i="2"/>
  <c r="E175" i="2"/>
  <c r="D144" i="2"/>
  <c r="E157" i="2"/>
  <c r="D134" i="2"/>
  <c r="D3" i="2"/>
  <c r="D145" i="2"/>
  <c r="E97" i="2"/>
  <c r="D67" i="2"/>
  <c r="E118" i="2"/>
  <c r="E18" i="2"/>
  <c r="E111" i="2"/>
  <c r="D100" i="2"/>
  <c r="D180" i="2"/>
  <c r="E24" i="2"/>
  <c r="D126" i="2"/>
  <c r="D121" i="2"/>
  <c r="E141" i="2"/>
  <c r="D50" i="2"/>
  <c r="D8" i="2"/>
  <c r="E16" i="2"/>
  <c r="E67" i="2"/>
  <c r="D139" i="2"/>
  <c r="D156" i="2"/>
  <c r="E165" i="2"/>
  <c r="D74" i="2"/>
  <c r="E149" i="2"/>
  <c r="E90" i="2"/>
  <c r="E139" i="2"/>
  <c r="E45" i="2"/>
  <c r="E64" i="2"/>
  <c r="E138" i="2"/>
  <c r="D32" i="2"/>
  <c r="E37" i="2"/>
  <c r="E82" i="2"/>
  <c r="E183" i="2"/>
  <c r="E22" i="2"/>
  <c r="G2" i="3" l="1"/>
  <c r="G561" i="3"/>
  <c r="G570" i="3"/>
  <c r="F551" i="3"/>
  <c r="G522" i="3"/>
  <c r="F500" i="3"/>
  <c r="G486" i="3"/>
  <c r="G450" i="3"/>
  <c r="F565" i="3"/>
  <c r="G560" i="3"/>
  <c r="F541" i="3"/>
  <c r="G536" i="3"/>
  <c r="F505" i="3"/>
  <c r="F493" i="3"/>
  <c r="G464" i="3"/>
  <c r="F457" i="3"/>
  <c r="F426" i="3"/>
  <c r="F336" i="3"/>
  <c r="G448" i="3"/>
  <c r="F441" i="3"/>
  <c r="G421" i="3"/>
  <c r="F384" i="3"/>
  <c r="F464" i="3"/>
  <c r="H464" i="3" s="1"/>
  <c r="G435" i="3"/>
  <c r="G498" i="3"/>
  <c r="G417" i="3"/>
  <c r="F326" i="3"/>
  <c r="G568" i="3"/>
  <c r="F549" i="3"/>
  <c r="G544" i="3"/>
  <c r="F525" i="3"/>
  <c r="G520" i="3"/>
  <c r="F503" i="3"/>
  <c r="G476" i="3"/>
  <c r="F469" i="3"/>
  <c r="G440" i="3"/>
  <c r="F433" i="3"/>
  <c r="G531" i="3"/>
  <c r="F555" i="3"/>
  <c r="G526" i="3"/>
  <c r="F554" i="3"/>
  <c r="F530" i="3"/>
  <c r="G558" i="3"/>
  <c r="G534" i="3"/>
  <c r="G508" i="3"/>
  <c r="G496" i="3"/>
  <c r="G483" i="3"/>
  <c r="F476" i="3"/>
  <c r="G447" i="3"/>
  <c r="F440" i="3"/>
  <c r="F374" i="3"/>
  <c r="F560" i="3"/>
  <c r="F536" i="3"/>
  <c r="G550" i="3"/>
  <c r="G549" i="3"/>
  <c r="G525" i="3"/>
  <c r="F491" i="3"/>
  <c r="F563" i="3"/>
  <c r="F539" i="3"/>
  <c r="G572" i="3"/>
  <c r="F553" i="3"/>
  <c r="G548" i="3"/>
  <c r="F529" i="3"/>
  <c r="G524" i="3"/>
  <c r="G514" i="3"/>
  <c r="F489" i="3"/>
  <c r="G460" i="3"/>
  <c r="F453" i="3"/>
  <c r="G555" i="3"/>
  <c r="G471" i="3"/>
  <c r="F422" i="3"/>
  <c r="F531" i="3"/>
  <c r="H531" i="3" s="1"/>
  <c r="G484" i="3"/>
  <c r="G462" i="3"/>
  <c r="F455" i="3"/>
  <c r="G567" i="3"/>
  <c r="G543" i="3"/>
  <c r="F524" i="3"/>
  <c r="H524" i="3" s="1"/>
  <c r="G519" i="3"/>
  <c r="F513" i="3"/>
  <c r="G502" i="3"/>
  <c r="G474" i="3"/>
  <c r="F467" i="3"/>
  <c r="G438" i="3"/>
  <c r="F431" i="3"/>
  <c r="G510" i="3"/>
  <c r="G393" i="3"/>
  <c r="F477" i="3"/>
  <c r="F515" i="3"/>
  <c r="F572" i="3"/>
  <c r="F548" i="3"/>
  <c r="H548" i="3" s="1"/>
  <c r="F567" i="3"/>
  <c r="H567" i="3" s="1"/>
  <c r="G562" i="3"/>
  <c r="F543" i="3"/>
  <c r="G538" i="3"/>
  <c r="F519" i="3"/>
  <c r="H519" i="3" s="1"/>
  <c r="G507" i="3"/>
  <c r="F501" i="3"/>
  <c r="G495" i="3"/>
  <c r="G488" i="3"/>
  <c r="F481" i="3"/>
  <c r="G452" i="3"/>
  <c r="F445" i="3"/>
  <c r="G355" i="3"/>
  <c r="F542" i="3"/>
  <c r="G537" i="3"/>
  <c r="G512" i="3"/>
  <c r="F507" i="3"/>
  <c r="H507" i="3" s="1"/>
  <c r="F495" i="3"/>
  <c r="F488" i="3"/>
  <c r="H488" i="3" s="1"/>
  <c r="G459" i="3"/>
  <c r="F452" i="3"/>
  <c r="G401" i="3"/>
  <c r="F276" i="3"/>
  <c r="F561" i="3"/>
  <c r="H561" i="3" s="1"/>
  <c r="G556" i="3"/>
  <c r="F537" i="3"/>
  <c r="G532" i="3"/>
  <c r="F512" i="3"/>
  <c r="H512" i="3" s="1"/>
  <c r="G500" i="3"/>
  <c r="G472" i="3"/>
  <c r="F465" i="3"/>
  <c r="G436" i="3"/>
  <c r="F428" i="3"/>
  <c r="F566" i="3"/>
  <c r="G546" i="3"/>
  <c r="F527" i="3"/>
  <c r="F517" i="3"/>
  <c r="F479" i="3"/>
  <c r="F443" i="3"/>
  <c r="G345" i="3"/>
  <c r="G427" i="3"/>
  <c r="F408" i="3"/>
  <c r="F386" i="3"/>
  <c r="G357" i="3"/>
  <c r="F338" i="3"/>
  <c r="G309" i="3"/>
  <c r="G283" i="3"/>
  <c r="F212" i="3"/>
  <c r="G29" i="3"/>
  <c r="F570" i="3"/>
  <c r="H570" i="3" s="1"/>
  <c r="G565" i="3"/>
  <c r="F558" i="3"/>
  <c r="H558" i="3" s="1"/>
  <c r="G553" i="3"/>
  <c r="F546" i="3"/>
  <c r="G541" i="3"/>
  <c r="F534" i="3"/>
  <c r="H534" i="3" s="1"/>
  <c r="G529" i="3"/>
  <c r="F522" i="3"/>
  <c r="H522" i="3" s="1"/>
  <c r="G517" i="3"/>
  <c r="F510" i="3"/>
  <c r="H510" i="3" s="1"/>
  <c r="G505" i="3"/>
  <c r="F498" i="3"/>
  <c r="H498" i="3" s="1"/>
  <c r="G493" i="3"/>
  <c r="F486" i="3"/>
  <c r="H486" i="3" s="1"/>
  <c r="G481" i="3"/>
  <c r="F474" i="3"/>
  <c r="G469" i="3"/>
  <c r="F462" i="3"/>
  <c r="H462" i="3" s="1"/>
  <c r="G457" i="3"/>
  <c r="F450" i="3"/>
  <c r="H450" i="3" s="1"/>
  <c r="G445" i="3"/>
  <c r="F438" i="3"/>
  <c r="G433" i="3"/>
  <c r="F427" i="3"/>
  <c r="G422" i="3"/>
  <c r="G375" i="3"/>
  <c r="F356" i="3"/>
  <c r="G327" i="3"/>
  <c r="G307" i="3"/>
  <c r="F252" i="3"/>
  <c r="G247" i="3"/>
  <c r="G466" i="3"/>
  <c r="F447" i="3"/>
  <c r="H447" i="3" s="1"/>
  <c r="F406" i="3"/>
  <c r="F344" i="3"/>
  <c r="G183" i="3"/>
  <c r="G569" i="3"/>
  <c r="F562" i="3"/>
  <c r="G557" i="3"/>
  <c r="F550" i="3"/>
  <c r="H550" i="3" s="1"/>
  <c r="G545" i="3"/>
  <c r="F538" i="3"/>
  <c r="G533" i="3"/>
  <c r="F526" i="3"/>
  <c r="H526" i="3" s="1"/>
  <c r="G521" i="3"/>
  <c r="F514" i="3"/>
  <c r="H514" i="3" s="1"/>
  <c r="G509" i="3"/>
  <c r="F502" i="3"/>
  <c r="H502" i="3" s="1"/>
  <c r="G497" i="3"/>
  <c r="F490" i="3"/>
  <c r="G485" i="3"/>
  <c r="F478" i="3"/>
  <c r="G473" i="3"/>
  <c r="F466" i="3"/>
  <c r="G461" i="3"/>
  <c r="F454" i="3"/>
  <c r="G449" i="3"/>
  <c r="F442" i="3"/>
  <c r="G437" i="3"/>
  <c r="F430" i="3"/>
  <c r="G425" i="3"/>
  <c r="G391" i="3"/>
  <c r="F372" i="3"/>
  <c r="G343" i="3"/>
  <c r="F324" i="3"/>
  <c r="F300" i="3"/>
  <c r="G271" i="3"/>
  <c r="F176" i="3"/>
  <c r="G490" i="3"/>
  <c r="G478" i="3"/>
  <c r="G442" i="3"/>
  <c r="G430" i="3"/>
  <c r="F416" i="3"/>
  <c r="G315" i="3"/>
  <c r="F569" i="3"/>
  <c r="G564" i="3"/>
  <c r="F557" i="3"/>
  <c r="G552" i="3"/>
  <c r="F545" i="3"/>
  <c r="H545" i="3" s="1"/>
  <c r="G540" i="3"/>
  <c r="F533" i="3"/>
  <c r="H533" i="3" s="1"/>
  <c r="G528" i="3"/>
  <c r="F521" i="3"/>
  <c r="H521" i="3" s="1"/>
  <c r="G516" i="3"/>
  <c r="F509" i="3"/>
  <c r="H509" i="3" s="1"/>
  <c r="G504" i="3"/>
  <c r="F497" i="3"/>
  <c r="G492" i="3"/>
  <c r="F485" i="3"/>
  <c r="G480" i="3"/>
  <c r="F473" i="3"/>
  <c r="H473" i="3" s="1"/>
  <c r="G468" i="3"/>
  <c r="F461" i="3"/>
  <c r="H461" i="3" s="1"/>
  <c r="G456" i="3"/>
  <c r="F449" i="3"/>
  <c r="G444" i="3"/>
  <c r="F437" i="3"/>
  <c r="H437" i="3" s="1"/>
  <c r="G432" i="3"/>
  <c r="F420" i="3"/>
  <c r="G415" i="3"/>
  <c r="G399" i="3"/>
  <c r="G381" i="3"/>
  <c r="F362" i="3"/>
  <c r="G333" i="3"/>
  <c r="F314" i="3"/>
  <c r="F240" i="3"/>
  <c r="F471" i="3"/>
  <c r="G454" i="3"/>
  <c r="G411" i="3"/>
  <c r="F392" i="3"/>
  <c r="G363" i="3"/>
  <c r="G571" i="3"/>
  <c r="F564" i="3"/>
  <c r="G559" i="3"/>
  <c r="F552" i="3"/>
  <c r="G547" i="3"/>
  <c r="F540" i="3"/>
  <c r="H540" i="3" s="1"/>
  <c r="G535" i="3"/>
  <c r="F528" i="3"/>
  <c r="G523" i="3"/>
  <c r="F516" i="3"/>
  <c r="G511" i="3"/>
  <c r="F504" i="3"/>
  <c r="G499" i="3"/>
  <c r="F492" i="3"/>
  <c r="G487" i="3"/>
  <c r="F480" i="3"/>
  <c r="G475" i="3"/>
  <c r="F468" i="3"/>
  <c r="H468" i="3" s="1"/>
  <c r="G463" i="3"/>
  <c r="F456" i="3"/>
  <c r="H456" i="3" s="1"/>
  <c r="G451" i="3"/>
  <c r="F444" i="3"/>
  <c r="G439" i="3"/>
  <c r="F432" i="3"/>
  <c r="F415" i="3"/>
  <c r="H415" i="3" s="1"/>
  <c r="G410" i="3"/>
  <c r="G405" i="3"/>
  <c r="F380" i="3"/>
  <c r="G351" i="3"/>
  <c r="F332" i="3"/>
  <c r="G295" i="3"/>
  <c r="G158" i="3"/>
  <c r="F483" i="3"/>
  <c r="F459" i="3"/>
  <c r="F435" i="3"/>
  <c r="F571" i="3"/>
  <c r="H571" i="3" s="1"/>
  <c r="G566" i="3"/>
  <c r="F559" i="3"/>
  <c r="G554" i="3"/>
  <c r="F547" i="3"/>
  <c r="H547" i="3" s="1"/>
  <c r="G542" i="3"/>
  <c r="F535" i="3"/>
  <c r="H535" i="3" s="1"/>
  <c r="G530" i="3"/>
  <c r="F523" i="3"/>
  <c r="G518" i="3"/>
  <c r="F511" i="3"/>
  <c r="G506" i="3"/>
  <c r="F499" i="3"/>
  <c r="H499" i="3" s="1"/>
  <c r="G494" i="3"/>
  <c r="F487" i="3"/>
  <c r="G482" i="3"/>
  <c r="F475" i="3"/>
  <c r="H475" i="3" s="1"/>
  <c r="G470" i="3"/>
  <c r="F463" i="3"/>
  <c r="H463" i="3" s="1"/>
  <c r="G458" i="3"/>
  <c r="F451" i="3"/>
  <c r="G446" i="3"/>
  <c r="F439" i="3"/>
  <c r="G434" i="3"/>
  <c r="G429" i="3"/>
  <c r="F410" i="3"/>
  <c r="H410" i="3" s="1"/>
  <c r="F404" i="3"/>
  <c r="G398" i="3"/>
  <c r="G379" i="3"/>
  <c r="F360" i="3"/>
  <c r="G331" i="3"/>
  <c r="F312" i="3"/>
  <c r="F264" i="3"/>
  <c r="F518" i="3"/>
  <c r="H518" i="3" s="1"/>
  <c r="G513" i="3"/>
  <c r="F506" i="3"/>
  <c r="H506" i="3" s="1"/>
  <c r="G501" i="3"/>
  <c r="F494" i="3"/>
  <c r="H494" i="3" s="1"/>
  <c r="G489" i="3"/>
  <c r="F482" i="3"/>
  <c r="H482" i="3" s="1"/>
  <c r="G477" i="3"/>
  <c r="F470" i="3"/>
  <c r="H470" i="3" s="1"/>
  <c r="G465" i="3"/>
  <c r="F458" i="3"/>
  <c r="H458" i="3" s="1"/>
  <c r="G453" i="3"/>
  <c r="F446" i="3"/>
  <c r="H446" i="3" s="1"/>
  <c r="G441" i="3"/>
  <c r="F434" i="3"/>
  <c r="H434" i="3" s="1"/>
  <c r="F414" i="3"/>
  <c r="G409" i="3"/>
  <c r="F398" i="3"/>
  <c r="G369" i="3"/>
  <c r="F350" i="3"/>
  <c r="G321" i="3"/>
  <c r="G230" i="3"/>
  <c r="G423" i="3"/>
  <c r="G403" i="3"/>
  <c r="G387" i="3"/>
  <c r="F368" i="3"/>
  <c r="G339" i="3"/>
  <c r="F320" i="3"/>
  <c r="F288" i="3"/>
  <c r="G259" i="3"/>
  <c r="F568" i="3"/>
  <c r="H568" i="3" s="1"/>
  <c r="G563" i="3"/>
  <c r="F556" i="3"/>
  <c r="H556" i="3" s="1"/>
  <c r="G551" i="3"/>
  <c r="F544" i="3"/>
  <c r="H544" i="3" s="1"/>
  <c r="G539" i="3"/>
  <c r="F532" i="3"/>
  <c r="G527" i="3"/>
  <c r="F520" i="3"/>
  <c r="H520" i="3" s="1"/>
  <c r="G515" i="3"/>
  <c r="F508" i="3"/>
  <c r="G503" i="3"/>
  <c r="F496" i="3"/>
  <c r="G491" i="3"/>
  <c r="F484" i="3"/>
  <c r="H484" i="3" s="1"/>
  <c r="G479" i="3"/>
  <c r="F472" i="3"/>
  <c r="H472" i="3" s="1"/>
  <c r="G467" i="3"/>
  <c r="F460" i="3"/>
  <c r="H460" i="3" s="1"/>
  <c r="G455" i="3"/>
  <c r="F448" i="3"/>
  <c r="H448" i="3" s="1"/>
  <c r="G443" i="3"/>
  <c r="F436" i="3"/>
  <c r="G431" i="3"/>
  <c r="F418" i="3"/>
  <c r="G413" i="3"/>
  <c r="F403" i="3"/>
  <c r="H403" i="3" s="1"/>
  <c r="F396" i="3"/>
  <c r="G367" i="3"/>
  <c r="F348" i="3"/>
  <c r="G319" i="3"/>
  <c r="F58" i="3"/>
  <c r="F425" i="3"/>
  <c r="G420" i="3"/>
  <c r="F413" i="3"/>
  <c r="G408" i="3"/>
  <c r="F401" i="3"/>
  <c r="H401" i="3" s="1"/>
  <c r="G396" i="3"/>
  <c r="F389" i="3"/>
  <c r="G384" i="3"/>
  <c r="F377" i="3"/>
  <c r="G372" i="3"/>
  <c r="F365" i="3"/>
  <c r="G360" i="3"/>
  <c r="F353" i="3"/>
  <c r="G348" i="3"/>
  <c r="F341" i="3"/>
  <c r="G336" i="3"/>
  <c r="F329" i="3"/>
  <c r="G324" i="3"/>
  <c r="F317" i="3"/>
  <c r="G312" i="3"/>
  <c r="F305" i="3"/>
  <c r="G300" i="3"/>
  <c r="F293" i="3"/>
  <c r="G288" i="3"/>
  <c r="F281" i="3"/>
  <c r="G276" i="3"/>
  <c r="F269" i="3"/>
  <c r="G264" i="3"/>
  <c r="F257" i="3"/>
  <c r="G252" i="3"/>
  <c r="F245" i="3"/>
  <c r="G240" i="3"/>
  <c r="F235" i="3"/>
  <c r="G219" i="3"/>
  <c r="G198" i="3"/>
  <c r="F191" i="3"/>
  <c r="F118" i="3"/>
  <c r="G89" i="3"/>
  <c r="F391" i="3"/>
  <c r="G386" i="3"/>
  <c r="F379" i="3"/>
  <c r="H379" i="3" s="1"/>
  <c r="G374" i="3"/>
  <c r="F367" i="3"/>
  <c r="H367" i="3" s="1"/>
  <c r="G362" i="3"/>
  <c r="F355" i="3"/>
  <c r="H355" i="3" s="1"/>
  <c r="G350" i="3"/>
  <c r="F343" i="3"/>
  <c r="H343" i="3" s="1"/>
  <c r="G338" i="3"/>
  <c r="F331" i="3"/>
  <c r="H331" i="3" s="1"/>
  <c r="G326" i="3"/>
  <c r="F319" i="3"/>
  <c r="G314" i="3"/>
  <c r="F307" i="3"/>
  <c r="H307" i="3" s="1"/>
  <c r="G302" i="3"/>
  <c r="F295" i="3"/>
  <c r="H295" i="3" s="1"/>
  <c r="G290" i="3"/>
  <c r="F283" i="3"/>
  <c r="H283" i="3" s="1"/>
  <c r="G278" i="3"/>
  <c r="F271" i="3"/>
  <c r="H271" i="3" s="1"/>
  <c r="G266" i="3"/>
  <c r="F259" i="3"/>
  <c r="H259" i="3" s="1"/>
  <c r="G254" i="3"/>
  <c r="F247" i="3"/>
  <c r="H247" i="3" s="1"/>
  <c r="G242" i="3"/>
  <c r="F224" i="3"/>
  <c r="G218" i="3"/>
  <c r="G197" i="3"/>
  <c r="F190" i="3"/>
  <c r="F142" i="3"/>
  <c r="G113" i="3"/>
  <c r="F302" i="3"/>
  <c r="G297" i="3"/>
  <c r="F290" i="3"/>
  <c r="G285" i="3"/>
  <c r="F278" i="3"/>
  <c r="H278" i="3" s="1"/>
  <c r="G273" i="3"/>
  <c r="F266" i="3"/>
  <c r="G261" i="3"/>
  <c r="F254" i="3"/>
  <c r="G249" i="3"/>
  <c r="F242" i="3"/>
  <c r="H242" i="3" s="1"/>
  <c r="G237" i="3"/>
  <c r="G234" i="3"/>
  <c r="G229" i="3"/>
  <c r="F211" i="3"/>
  <c r="G182" i="3"/>
  <c r="F175" i="3"/>
  <c r="F166" i="3"/>
  <c r="F82" i="3"/>
  <c r="G53" i="3"/>
  <c r="F429" i="3"/>
  <c r="G424" i="3"/>
  <c r="F417" i="3"/>
  <c r="H417" i="3" s="1"/>
  <c r="G412" i="3"/>
  <c r="F405" i="3"/>
  <c r="G400" i="3"/>
  <c r="F393" i="3"/>
  <c r="H393" i="3" s="1"/>
  <c r="G388" i="3"/>
  <c r="F381" i="3"/>
  <c r="G376" i="3"/>
  <c r="F369" i="3"/>
  <c r="H369" i="3" s="1"/>
  <c r="G364" i="3"/>
  <c r="F357" i="3"/>
  <c r="H357" i="3" s="1"/>
  <c r="G352" i="3"/>
  <c r="F345" i="3"/>
  <c r="G340" i="3"/>
  <c r="F333" i="3"/>
  <c r="H333" i="3" s="1"/>
  <c r="G328" i="3"/>
  <c r="F321" i="3"/>
  <c r="H321" i="3" s="1"/>
  <c r="G316" i="3"/>
  <c r="F309" i="3"/>
  <c r="H309" i="3" s="1"/>
  <c r="G304" i="3"/>
  <c r="F297" i="3"/>
  <c r="G292" i="3"/>
  <c r="F285" i="3"/>
  <c r="G280" i="3"/>
  <c r="F273" i="3"/>
  <c r="H273" i="3" s="1"/>
  <c r="G268" i="3"/>
  <c r="F261" i="3"/>
  <c r="H261" i="3" s="1"/>
  <c r="G256" i="3"/>
  <c r="F249" i="3"/>
  <c r="G244" i="3"/>
  <c r="F237" i="3"/>
  <c r="H237" i="3" s="1"/>
  <c r="F234" i="3"/>
  <c r="F223" i="3"/>
  <c r="G217" i="3"/>
  <c r="G210" i="3"/>
  <c r="F203" i="3"/>
  <c r="G174" i="3"/>
  <c r="G137" i="3"/>
  <c r="F22" i="3"/>
  <c r="F424" i="3"/>
  <c r="G419" i="3"/>
  <c r="F412" i="3"/>
  <c r="H412" i="3" s="1"/>
  <c r="G407" i="3"/>
  <c r="F400" i="3"/>
  <c r="G395" i="3"/>
  <c r="F388" i="3"/>
  <c r="G383" i="3"/>
  <c r="F376" i="3"/>
  <c r="H376" i="3" s="1"/>
  <c r="G371" i="3"/>
  <c r="F364" i="3"/>
  <c r="G359" i="3"/>
  <c r="F352" i="3"/>
  <c r="G347" i="3"/>
  <c r="F340" i="3"/>
  <c r="H340" i="3" s="1"/>
  <c r="G335" i="3"/>
  <c r="F328" i="3"/>
  <c r="G323" i="3"/>
  <c r="F316" i="3"/>
  <c r="G311" i="3"/>
  <c r="F304" i="3"/>
  <c r="H304" i="3" s="1"/>
  <c r="G299" i="3"/>
  <c r="F292" i="3"/>
  <c r="G287" i="3"/>
  <c r="F280" i="3"/>
  <c r="G275" i="3"/>
  <c r="F268" i="3"/>
  <c r="H268" i="3" s="1"/>
  <c r="G263" i="3"/>
  <c r="F256" i="3"/>
  <c r="G251" i="3"/>
  <c r="F244" i="3"/>
  <c r="G239" i="3"/>
  <c r="G222" i="3"/>
  <c r="G195" i="3"/>
  <c r="F188" i="3"/>
  <c r="F164" i="3"/>
  <c r="F106" i="3"/>
  <c r="G77" i="3"/>
  <c r="G426" i="3"/>
  <c r="F419" i="3"/>
  <c r="G414" i="3"/>
  <c r="F407" i="3"/>
  <c r="G402" i="3"/>
  <c r="F395" i="3"/>
  <c r="G390" i="3"/>
  <c r="F383" i="3"/>
  <c r="G378" i="3"/>
  <c r="F371" i="3"/>
  <c r="G366" i="3"/>
  <c r="F359" i="3"/>
  <c r="G354" i="3"/>
  <c r="F347" i="3"/>
  <c r="G342" i="3"/>
  <c r="F335" i="3"/>
  <c r="G330" i="3"/>
  <c r="F323" i="3"/>
  <c r="G318" i="3"/>
  <c r="F311" i="3"/>
  <c r="G306" i="3"/>
  <c r="F299" i="3"/>
  <c r="G294" i="3"/>
  <c r="F287" i="3"/>
  <c r="G282" i="3"/>
  <c r="F275" i="3"/>
  <c r="G270" i="3"/>
  <c r="F263" i="3"/>
  <c r="G258" i="3"/>
  <c r="F251" i="3"/>
  <c r="G246" i="3"/>
  <c r="F239" i="3"/>
  <c r="G233" i="3"/>
  <c r="F222" i="3"/>
  <c r="G209" i="3"/>
  <c r="F202" i="3"/>
  <c r="G173" i="3"/>
  <c r="F154" i="3"/>
  <c r="F46" i="3"/>
  <c r="G17" i="3"/>
  <c r="F402" i="3"/>
  <c r="H402" i="3" s="1"/>
  <c r="G397" i="3"/>
  <c r="F390" i="3"/>
  <c r="H390" i="3" s="1"/>
  <c r="G385" i="3"/>
  <c r="F378" i="3"/>
  <c r="H378" i="3" s="1"/>
  <c r="G373" i="3"/>
  <c r="F366" i="3"/>
  <c r="H366" i="3" s="1"/>
  <c r="G361" i="3"/>
  <c r="F354" i="3"/>
  <c r="H354" i="3" s="1"/>
  <c r="G349" i="3"/>
  <c r="F342" i="3"/>
  <c r="H342" i="3" s="1"/>
  <c r="G337" i="3"/>
  <c r="F330" i="3"/>
  <c r="H330" i="3" s="1"/>
  <c r="G325" i="3"/>
  <c r="F318" i="3"/>
  <c r="H318" i="3" s="1"/>
  <c r="G313" i="3"/>
  <c r="F306" i="3"/>
  <c r="H306" i="3" s="1"/>
  <c r="G301" i="3"/>
  <c r="F294" i="3"/>
  <c r="H294" i="3" s="1"/>
  <c r="G289" i="3"/>
  <c r="F282" i="3"/>
  <c r="H282" i="3" s="1"/>
  <c r="G277" i="3"/>
  <c r="F270" i="3"/>
  <c r="H270" i="3" s="1"/>
  <c r="G265" i="3"/>
  <c r="F258" i="3"/>
  <c r="H258" i="3" s="1"/>
  <c r="G253" i="3"/>
  <c r="F246" i="3"/>
  <c r="H246" i="3" s="1"/>
  <c r="G241" i="3"/>
  <c r="F236" i="3"/>
  <c r="F227" i="3"/>
  <c r="G194" i="3"/>
  <c r="F187" i="3"/>
  <c r="F163" i="3"/>
  <c r="F130" i="3"/>
  <c r="G101" i="3"/>
  <c r="G428" i="3"/>
  <c r="F421" i="3"/>
  <c r="G416" i="3"/>
  <c r="F409" i="3"/>
  <c r="H409" i="3" s="1"/>
  <c r="G404" i="3"/>
  <c r="F397" i="3"/>
  <c r="G392" i="3"/>
  <c r="F385" i="3"/>
  <c r="G380" i="3"/>
  <c r="F373" i="3"/>
  <c r="G368" i="3"/>
  <c r="F361" i="3"/>
  <c r="G356" i="3"/>
  <c r="F349" i="3"/>
  <c r="G344" i="3"/>
  <c r="F337" i="3"/>
  <c r="G332" i="3"/>
  <c r="F325" i="3"/>
  <c r="G320" i="3"/>
  <c r="F313" i="3"/>
  <c r="G308" i="3"/>
  <c r="F301" i="3"/>
  <c r="G296" i="3"/>
  <c r="F289" i="3"/>
  <c r="G284" i="3"/>
  <c r="F277" i="3"/>
  <c r="G272" i="3"/>
  <c r="F265" i="3"/>
  <c r="G260" i="3"/>
  <c r="F253" i="3"/>
  <c r="G248" i="3"/>
  <c r="F241" i="3"/>
  <c r="G221" i="3"/>
  <c r="F215" i="3"/>
  <c r="G186" i="3"/>
  <c r="F179" i="3"/>
  <c r="G171" i="3"/>
  <c r="F152" i="3"/>
  <c r="F70" i="3"/>
  <c r="G41" i="3"/>
  <c r="F308" i="3"/>
  <c r="G303" i="3"/>
  <c r="F296" i="3"/>
  <c r="G291" i="3"/>
  <c r="F284" i="3"/>
  <c r="G279" i="3"/>
  <c r="F272" i="3"/>
  <c r="G267" i="3"/>
  <c r="F260" i="3"/>
  <c r="G255" i="3"/>
  <c r="F248" i="3"/>
  <c r="G243" i="3"/>
  <c r="G207" i="3"/>
  <c r="F200" i="3"/>
  <c r="G161" i="3"/>
  <c r="G125" i="3"/>
  <c r="F10" i="3"/>
  <c r="F423" i="3"/>
  <c r="H423" i="3" s="1"/>
  <c r="G418" i="3"/>
  <c r="F411" i="3"/>
  <c r="H411" i="3" s="1"/>
  <c r="G406" i="3"/>
  <c r="F399" i="3"/>
  <c r="H399" i="3" s="1"/>
  <c r="G394" i="3"/>
  <c r="F387" i="3"/>
  <c r="G382" i="3"/>
  <c r="F375" i="3"/>
  <c r="G370" i="3"/>
  <c r="F363" i="3"/>
  <c r="G358" i="3"/>
  <c r="F351" i="3"/>
  <c r="H351" i="3" s="1"/>
  <c r="G346" i="3"/>
  <c r="F339" i="3"/>
  <c r="G334" i="3"/>
  <c r="F327" i="3"/>
  <c r="H327" i="3" s="1"/>
  <c r="G322" i="3"/>
  <c r="F315" i="3"/>
  <c r="G310" i="3"/>
  <c r="F303" i="3"/>
  <c r="H303" i="3" s="1"/>
  <c r="G298" i="3"/>
  <c r="F291" i="3"/>
  <c r="H291" i="3" s="1"/>
  <c r="G286" i="3"/>
  <c r="F279" i="3"/>
  <c r="H279" i="3" s="1"/>
  <c r="G274" i="3"/>
  <c r="F267" i="3"/>
  <c r="H267" i="3" s="1"/>
  <c r="G262" i="3"/>
  <c r="F255" i="3"/>
  <c r="H255" i="3" s="1"/>
  <c r="G250" i="3"/>
  <c r="F243" i="3"/>
  <c r="H243" i="3" s="1"/>
  <c r="G238" i="3"/>
  <c r="F226" i="3"/>
  <c r="F214" i="3"/>
  <c r="G185" i="3"/>
  <c r="F178" i="3"/>
  <c r="G170" i="3"/>
  <c r="F151" i="3"/>
  <c r="F94" i="3"/>
  <c r="G65" i="3"/>
  <c r="F394" i="3"/>
  <c r="G389" i="3"/>
  <c r="F382" i="3"/>
  <c r="H382" i="3" s="1"/>
  <c r="G377" i="3"/>
  <c r="F370" i="3"/>
  <c r="G365" i="3"/>
  <c r="F358" i="3"/>
  <c r="G353" i="3"/>
  <c r="F346" i="3"/>
  <c r="G341" i="3"/>
  <c r="F334" i="3"/>
  <c r="G329" i="3"/>
  <c r="F322" i="3"/>
  <c r="G317" i="3"/>
  <c r="F310" i="3"/>
  <c r="H310" i="3" s="1"/>
  <c r="G305" i="3"/>
  <c r="F298" i="3"/>
  <c r="G293" i="3"/>
  <c r="F286" i="3"/>
  <c r="G281" i="3"/>
  <c r="F274" i="3"/>
  <c r="G269" i="3"/>
  <c r="F262" i="3"/>
  <c r="G257" i="3"/>
  <c r="F250" i="3"/>
  <c r="G245" i="3"/>
  <c r="F238" i="3"/>
  <c r="H238" i="3" s="1"/>
  <c r="G235" i="3"/>
  <c r="G231" i="3"/>
  <c r="G206" i="3"/>
  <c r="F199" i="3"/>
  <c r="G159" i="3"/>
  <c r="G149" i="3"/>
  <c r="F34" i="3"/>
  <c r="G5" i="3"/>
  <c r="F233" i="3"/>
  <c r="H233" i="3" s="1"/>
  <c r="G228" i="3"/>
  <c r="F221" i="3"/>
  <c r="G216" i="3"/>
  <c r="F209" i="3"/>
  <c r="G204" i="3"/>
  <c r="F197" i="3"/>
  <c r="G192" i="3"/>
  <c r="F185" i="3"/>
  <c r="G180" i="3"/>
  <c r="F173" i="3"/>
  <c r="G168" i="3"/>
  <c r="F161" i="3"/>
  <c r="G156" i="3"/>
  <c r="F149" i="3"/>
  <c r="G144" i="3"/>
  <c r="F137" i="3"/>
  <c r="H137" i="3" s="1"/>
  <c r="G132" i="3"/>
  <c r="F125" i="3"/>
  <c r="G120" i="3"/>
  <c r="F113" i="3"/>
  <c r="H113" i="3" s="1"/>
  <c r="G108" i="3"/>
  <c r="F101" i="3"/>
  <c r="G96" i="3"/>
  <c r="F89" i="3"/>
  <c r="G84" i="3"/>
  <c r="F77" i="3"/>
  <c r="G72" i="3"/>
  <c r="F65" i="3"/>
  <c r="G60" i="3"/>
  <c r="F53" i="3"/>
  <c r="H53" i="3" s="1"/>
  <c r="G48" i="3"/>
  <c r="F41" i="3"/>
  <c r="G36" i="3"/>
  <c r="F29" i="3"/>
  <c r="H29" i="3" s="1"/>
  <c r="G24" i="3"/>
  <c r="F17" i="3"/>
  <c r="H17" i="3" s="1"/>
  <c r="G12" i="3"/>
  <c r="F5" i="3"/>
  <c r="F228" i="3"/>
  <c r="H228" i="3" s="1"/>
  <c r="G223" i="3"/>
  <c r="F216" i="3"/>
  <c r="G211" i="3"/>
  <c r="F204" i="3"/>
  <c r="G199" i="3"/>
  <c r="F192" i="3"/>
  <c r="G187" i="3"/>
  <c r="F180" i="3"/>
  <c r="G175" i="3"/>
  <c r="F168" i="3"/>
  <c r="G163" i="3"/>
  <c r="F156" i="3"/>
  <c r="H156" i="3" s="1"/>
  <c r="G151" i="3"/>
  <c r="F144" i="3"/>
  <c r="G139" i="3"/>
  <c r="F132" i="3"/>
  <c r="G127" i="3"/>
  <c r="F120" i="3"/>
  <c r="G115" i="3"/>
  <c r="F108" i="3"/>
  <c r="G103" i="3"/>
  <c r="F96" i="3"/>
  <c r="G91" i="3"/>
  <c r="F84" i="3"/>
  <c r="H84" i="3" s="1"/>
  <c r="G79" i="3"/>
  <c r="F72" i="3"/>
  <c r="G67" i="3"/>
  <c r="F60" i="3"/>
  <c r="G55" i="3"/>
  <c r="F48" i="3"/>
  <c r="G43" i="3"/>
  <c r="F36" i="3"/>
  <c r="G31" i="3"/>
  <c r="F24" i="3"/>
  <c r="G19" i="3"/>
  <c r="F12" i="3"/>
  <c r="H12" i="3" s="1"/>
  <c r="G7" i="3"/>
  <c r="G146" i="3"/>
  <c r="F139" i="3"/>
  <c r="H139" i="3" s="1"/>
  <c r="G134" i="3"/>
  <c r="F127" i="3"/>
  <c r="H127" i="3" s="1"/>
  <c r="G122" i="3"/>
  <c r="F115" i="3"/>
  <c r="H115" i="3" s="1"/>
  <c r="G110" i="3"/>
  <c r="F103" i="3"/>
  <c r="H103" i="3" s="1"/>
  <c r="G98" i="3"/>
  <c r="F91" i="3"/>
  <c r="H91" i="3" s="1"/>
  <c r="G86" i="3"/>
  <c r="F79" i="3"/>
  <c r="H79" i="3" s="1"/>
  <c r="G74" i="3"/>
  <c r="F67" i="3"/>
  <c r="H67" i="3" s="1"/>
  <c r="G62" i="3"/>
  <c r="F55" i="3"/>
  <c r="G50" i="3"/>
  <c r="F43" i="3"/>
  <c r="H43" i="3" s="1"/>
  <c r="G38" i="3"/>
  <c r="F31" i="3"/>
  <c r="H31" i="3" s="1"/>
  <c r="G26" i="3"/>
  <c r="F19" i="3"/>
  <c r="H19" i="3" s="1"/>
  <c r="G14" i="3"/>
  <c r="F7" i="3"/>
  <c r="H7" i="3" s="1"/>
  <c r="F230" i="3"/>
  <c r="H230" i="3" s="1"/>
  <c r="G225" i="3"/>
  <c r="F218" i="3"/>
  <c r="H218" i="3" s="1"/>
  <c r="G213" i="3"/>
  <c r="F206" i="3"/>
  <c r="G201" i="3"/>
  <c r="F194" i="3"/>
  <c r="G189" i="3"/>
  <c r="F182" i="3"/>
  <c r="G177" i="3"/>
  <c r="F170" i="3"/>
  <c r="G165" i="3"/>
  <c r="F158" i="3"/>
  <c r="H158" i="3" s="1"/>
  <c r="G153" i="3"/>
  <c r="F146" i="3"/>
  <c r="G141" i="3"/>
  <c r="F134" i="3"/>
  <c r="G129" i="3"/>
  <c r="F122" i="3"/>
  <c r="G117" i="3"/>
  <c r="F110" i="3"/>
  <c r="G105" i="3"/>
  <c r="F98" i="3"/>
  <c r="H98" i="3" s="1"/>
  <c r="G93" i="3"/>
  <c r="F86" i="3"/>
  <c r="G81" i="3"/>
  <c r="F74" i="3"/>
  <c r="G69" i="3"/>
  <c r="F62" i="3"/>
  <c r="G57" i="3"/>
  <c r="F50" i="3"/>
  <c r="G45" i="3"/>
  <c r="F38" i="3"/>
  <c r="G33" i="3"/>
  <c r="F26" i="3"/>
  <c r="H26" i="3" s="1"/>
  <c r="G21" i="3"/>
  <c r="F14" i="3"/>
  <c r="G9" i="3"/>
  <c r="G232" i="3"/>
  <c r="F225" i="3"/>
  <c r="G220" i="3"/>
  <c r="F213" i="3"/>
  <c r="G208" i="3"/>
  <c r="F201" i="3"/>
  <c r="G196" i="3"/>
  <c r="F189" i="3"/>
  <c r="G184" i="3"/>
  <c r="F177" i="3"/>
  <c r="G172" i="3"/>
  <c r="F165" i="3"/>
  <c r="G160" i="3"/>
  <c r="F153" i="3"/>
  <c r="G148" i="3"/>
  <c r="F141" i="3"/>
  <c r="G136" i="3"/>
  <c r="F129" i="3"/>
  <c r="G124" i="3"/>
  <c r="F117" i="3"/>
  <c r="G112" i="3"/>
  <c r="F105" i="3"/>
  <c r="G100" i="3"/>
  <c r="F93" i="3"/>
  <c r="G88" i="3"/>
  <c r="F81" i="3"/>
  <c r="G76" i="3"/>
  <c r="F69" i="3"/>
  <c r="G64" i="3"/>
  <c r="F57" i="3"/>
  <c r="G52" i="3"/>
  <c r="F45" i="3"/>
  <c r="G40" i="3"/>
  <c r="F33" i="3"/>
  <c r="G28" i="3"/>
  <c r="F21" i="3"/>
  <c r="G16" i="3"/>
  <c r="F9" i="3"/>
  <c r="G4" i="3"/>
  <c r="F232" i="3"/>
  <c r="G227" i="3"/>
  <c r="F220" i="3"/>
  <c r="G215" i="3"/>
  <c r="F208" i="3"/>
  <c r="G203" i="3"/>
  <c r="F196" i="3"/>
  <c r="G191" i="3"/>
  <c r="F184" i="3"/>
  <c r="G179" i="3"/>
  <c r="F172" i="3"/>
  <c r="H172" i="3" s="1"/>
  <c r="G167" i="3"/>
  <c r="F160" i="3"/>
  <c r="G155" i="3"/>
  <c r="F148" i="3"/>
  <c r="G143" i="3"/>
  <c r="F136" i="3"/>
  <c r="G131" i="3"/>
  <c r="F124" i="3"/>
  <c r="G119" i="3"/>
  <c r="F112" i="3"/>
  <c r="G107" i="3"/>
  <c r="F100" i="3"/>
  <c r="H100" i="3" s="1"/>
  <c r="G95" i="3"/>
  <c r="F88" i="3"/>
  <c r="G83" i="3"/>
  <c r="F76" i="3"/>
  <c r="G71" i="3"/>
  <c r="F64" i="3"/>
  <c r="G59" i="3"/>
  <c r="F52" i="3"/>
  <c r="G47" i="3"/>
  <c r="F40" i="3"/>
  <c r="G35" i="3"/>
  <c r="F28" i="3"/>
  <c r="H28" i="3" s="1"/>
  <c r="G23" i="3"/>
  <c r="F16" i="3"/>
  <c r="G11" i="3"/>
  <c r="F4" i="3"/>
  <c r="F167" i="3"/>
  <c r="G162" i="3"/>
  <c r="F155" i="3"/>
  <c r="G150" i="3"/>
  <c r="F143" i="3"/>
  <c r="G138" i="3"/>
  <c r="F131" i="3"/>
  <c r="G126" i="3"/>
  <c r="F119" i="3"/>
  <c r="H119" i="3" s="1"/>
  <c r="G114" i="3"/>
  <c r="F107" i="3"/>
  <c r="G102" i="3"/>
  <c r="F95" i="3"/>
  <c r="G90" i="3"/>
  <c r="F83" i="3"/>
  <c r="G78" i="3"/>
  <c r="F71" i="3"/>
  <c r="G66" i="3"/>
  <c r="F59" i="3"/>
  <c r="G54" i="3"/>
  <c r="F47" i="3"/>
  <c r="H47" i="3" s="1"/>
  <c r="G42" i="3"/>
  <c r="F35" i="3"/>
  <c r="G30" i="3"/>
  <c r="F23" i="3"/>
  <c r="G18" i="3"/>
  <c r="F11" i="3"/>
  <c r="G6" i="3"/>
  <c r="F210" i="3"/>
  <c r="H210" i="3" s="1"/>
  <c r="G205" i="3"/>
  <c r="F198" i="3"/>
  <c r="G193" i="3"/>
  <c r="F186" i="3"/>
  <c r="H186" i="3" s="1"/>
  <c r="G181" i="3"/>
  <c r="F174" i="3"/>
  <c r="H174" i="3" s="1"/>
  <c r="G169" i="3"/>
  <c r="F162" i="3"/>
  <c r="G157" i="3"/>
  <c r="F150" i="3"/>
  <c r="H150" i="3" s="1"/>
  <c r="G145" i="3"/>
  <c r="F138" i="3"/>
  <c r="G133" i="3"/>
  <c r="F126" i="3"/>
  <c r="G121" i="3"/>
  <c r="F114" i="3"/>
  <c r="G109" i="3"/>
  <c r="F102" i="3"/>
  <c r="G97" i="3"/>
  <c r="F90" i="3"/>
  <c r="G85" i="3"/>
  <c r="F78" i="3"/>
  <c r="H78" i="3" s="1"/>
  <c r="G73" i="3"/>
  <c r="F66" i="3"/>
  <c r="G61" i="3"/>
  <c r="F54" i="3"/>
  <c r="G49" i="3"/>
  <c r="F42" i="3"/>
  <c r="G37" i="3"/>
  <c r="F30" i="3"/>
  <c r="G25" i="3"/>
  <c r="F18" i="3"/>
  <c r="G13" i="3"/>
  <c r="F6" i="3"/>
  <c r="H6" i="3" s="1"/>
  <c r="G236" i="3"/>
  <c r="F229" i="3"/>
  <c r="H229" i="3" s="1"/>
  <c r="G224" i="3"/>
  <c r="F217" i="3"/>
  <c r="H217" i="3" s="1"/>
  <c r="G212" i="3"/>
  <c r="F205" i="3"/>
  <c r="G200" i="3"/>
  <c r="F193" i="3"/>
  <c r="G188" i="3"/>
  <c r="F181" i="3"/>
  <c r="G176" i="3"/>
  <c r="F169" i="3"/>
  <c r="H169" i="3" s="1"/>
  <c r="G164" i="3"/>
  <c r="F157" i="3"/>
  <c r="G152" i="3"/>
  <c r="F145" i="3"/>
  <c r="G140" i="3"/>
  <c r="F133" i="3"/>
  <c r="G128" i="3"/>
  <c r="F121" i="3"/>
  <c r="G116" i="3"/>
  <c r="F109" i="3"/>
  <c r="G104" i="3"/>
  <c r="F97" i="3"/>
  <c r="H97" i="3" s="1"/>
  <c r="G92" i="3"/>
  <c r="F85" i="3"/>
  <c r="G80" i="3"/>
  <c r="F73" i="3"/>
  <c r="G68" i="3"/>
  <c r="F61" i="3"/>
  <c r="G56" i="3"/>
  <c r="F49" i="3"/>
  <c r="G44" i="3"/>
  <c r="F37" i="3"/>
  <c r="G32" i="3"/>
  <c r="F25" i="3"/>
  <c r="H25" i="3" s="1"/>
  <c r="G20" i="3"/>
  <c r="F13" i="3"/>
  <c r="G8" i="3"/>
  <c r="G147" i="3"/>
  <c r="F140" i="3"/>
  <c r="G135" i="3"/>
  <c r="F128" i="3"/>
  <c r="H128" i="3" s="1"/>
  <c r="G123" i="3"/>
  <c r="F116" i="3"/>
  <c r="H116" i="3" s="1"/>
  <c r="G111" i="3"/>
  <c r="F104" i="3"/>
  <c r="H104" i="3" s="1"/>
  <c r="G99" i="3"/>
  <c r="F92" i="3"/>
  <c r="H92" i="3" s="1"/>
  <c r="G87" i="3"/>
  <c r="F80" i="3"/>
  <c r="H80" i="3" s="1"/>
  <c r="G75" i="3"/>
  <c r="F68" i="3"/>
  <c r="H68" i="3" s="1"/>
  <c r="G63" i="3"/>
  <c r="F56" i="3"/>
  <c r="H56" i="3" s="1"/>
  <c r="G51" i="3"/>
  <c r="F44" i="3"/>
  <c r="H44" i="3" s="1"/>
  <c r="G39" i="3"/>
  <c r="F32" i="3"/>
  <c r="G27" i="3"/>
  <c r="F20" i="3"/>
  <c r="H20" i="3" s="1"/>
  <c r="G15" i="3"/>
  <c r="F8" i="3"/>
  <c r="H8" i="3" s="1"/>
  <c r="G3" i="3"/>
  <c r="F231" i="3"/>
  <c r="H231" i="3" s="1"/>
  <c r="G226" i="3"/>
  <c r="F219" i="3"/>
  <c r="H219" i="3" s="1"/>
  <c r="G214" i="3"/>
  <c r="F207" i="3"/>
  <c r="H207" i="3" s="1"/>
  <c r="G202" i="3"/>
  <c r="F195" i="3"/>
  <c r="H195" i="3" s="1"/>
  <c r="G190" i="3"/>
  <c r="F183" i="3"/>
  <c r="G178" i="3"/>
  <c r="F171" i="3"/>
  <c r="H171" i="3" s="1"/>
  <c r="G166" i="3"/>
  <c r="F159" i="3"/>
  <c r="H159" i="3" s="1"/>
  <c r="G154" i="3"/>
  <c r="F147" i="3"/>
  <c r="G142" i="3"/>
  <c r="F135" i="3"/>
  <c r="G130" i="3"/>
  <c r="F123" i="3"/>
  <c r="G118" i="3"/>
  <c r="F111" i="3"/>
  <c r="G106" i="3"/>
  <c r="F99" i="3"/>
  <c r="G94" i="3"/>
  <c r="F87" i="3"/>
  <c r="H87" i="3" s="1"/>
  <c r="G82" i="3"/>
  <c r="F75" i="3"/>
  <c r="G70" i="3"/>
  <c r="F63" i="3"/>
  <c r="G58" i="3"/>
  <c r="F51" i="3"/>
  <c r="G46" i="3"/>
  <c r="F39" i="3"/>
  <c r="G34" i="3"/>
  <c r="F27" i="3"/>
  <c r="G22" i="3"/>
  <c r="F15" i="3"/>
  <c r="H15" i="3" s="1"/>
  <c r="G10" i="3"/>
  <c r="F3" i="3"/>
  <c r="F2" i="3"/>
  <c r="G22" i="2"/>
  <c r="G183" i="2"/>
  <c r="G82" i="2"/>
  <c r="G37" i="2"/>
  <c r="F32" i="2"/>
  <c r="G138" i="2"/>
  <c r="G64" i="2"/>
  <c r="G45" i="2"/>
  <c r="G139" i="2"/>
  <c r="G90" i="2"/>
  <c r="G149" i="2"/>
  <c r="F74" i="2"/>
  <c r="G165" i="2"/>
  <c r="F156" i="2"/>
  <c r="F139" i="2"/>
  <c r="H139" i="2" s="1"/>
  <c r="G67" i="2"/>
  <c r="G16" i="2"/>
  <c r="F8" i="2"/>
  <c r="F50" i="2"/>
  <c r="G141" i="2"/>
  <c r="F121" i="2"/>
  <c r="F126" i="2"/>
  <c r="G24" i="2"/>
  <c r="F180" i="2"/>
  <c r="F100" i="2"/>
  <c r="G111" i="2"/>
  <c r="G18" i="2"/>
  <c r="G118" i="2"/>
  <c r="F67" i="2"/>
  <c r="H67" i="2" s="1"/>
  <c r="G97" i="2"/>
  <c r="F145" i="2"/>
  <c r="F3" i="2"/>
  <c r="F134" i="2"/>
  <c r="G157" i="2"/>
  <c r="F144" i="2"/>
  <c r="G175" i="2"/>
  <c r="G151" i="2"/>
  <c r="G109" i="2"/>
  <c r="G180" i="2"/>
  <c r="G52" i="2"/>
  <c r="F124" i="2"/>
  <c r="H124" i="2" s="1"/>
  <c r="G39" i="2"/>
  <c r="G137" i="2"/>
  <c r="F4" i="2"/>
  <c r="F97" i="2"/>
  <c r="G21" i="2"/>
  <c r="G156" i="2"/>
  <c r="F150" i="2"/>
  <c r="G84" i="2"/>
  <c r="F106" i="2"/>
  <c r="F165" i="2"/>
  <c r="H165" i="2" s="1"/>
  <c r="F73" i="2"/>
  <c r="G176" i="2"/>
  <c r="G98" i="2"/>
  <c r="F173" i="2"/>
  <c r="G181" i="2"/>
  <c r="F172" i="2"/>
  <c r="F128" i="2"/>
  <c r="G158" i="2"/>
  <c r="G65" i="2"/>
  <c r="G77" i="2"/>
  <c r="F90" i="2"/>
  <c r="H90" i="2" s="1"/>
  <c r="G119" i="2"/>
  <c r="F148" i="2"/>
  <c r="F131" i="2"/>
  <c r="F157" i="2"/>
  <c r="H157" i="2" s="1"/>
  <c r="G81" i="2"/>
  <c r="F89" i="2"/>
  <c r="G124" i="2"/>
  <c r="F31" i="2"/>
  <c r="G104" i="2"/>
  <c r="F54" i="2"/>
  <c r="G47" i="2"/>
  <c r="F36" i="2"/>
  <c r="F105" i="2"/>
  <c r="G86" i="2"/>
  <c r="G184" i="2"/>
  <c r="F94" i="2"/>
  <c r="H94" i="2" s="1"/>
  <c r="F132" i="2"/>
  <c r="G56" i="2"/>
  <c r="G102" i="2"/>
  <c r="F112" i="2"/>
  <c r="G7" i="2"/>
  <c r="F56" i="2"/>
  <c r="F119" i="2"/>
  <c r="F108" i="2"/>
  <c r="G32" i="2"/>
  <c r="G23" i="2"/>
  <c r="F29" i="2"/>
  <c r="G12" i="2"/>
  <c r="F47" i="2"/>
  <c r="H47" i="2" s="1"/>
  <c r="F178" i="2"/>
  <c r="G14" i="2"/>
  <c r="G112" i="2"/>
  <c r="F52" i="2"/>
  <c r="H52" i="2" s="1"/>
  <c r="F137" i="2"/>
  <c r="H137" i="2" s="1"/>
  <c r="G85" i="2"/>
  <c r="F35" i="2"/>
  <c r="F59" i="2"/>
  <c r="H59" i="2" s="1"/>
  <c r="F13" i="2"/>
  <c r="G116" i="2"/>
  <c r="F51" i="2"/>
  <c r="F103" i="2"/>
  <c r="F159" i="2"/>
  <c r="G126" i="2"/>
  <c r="F101" i="2"/>
  <c r="G144" i="2"/>
  <c r="G43" i="2"/>
  <c r="F163" i="2"/>
  <c r="G163" i="2"/>
  <c r="G40" i="2"/>
  <c r="F93" i="2"/>
  <c r="H93" i="2" s="1"/>
  <c r="G55" i="2"/>
  <c r="G78" i="2"/>
  <c r="F117" i="2"/>
  <c r="F53" i="2"/>
  <c r="G60" i="2"/>
  <c r="F135" i="2"/>
  <c r="F45" i="2"/>
  <c r="H45" i="2" s="1"/>
  <c r="G147" i="2"/>
  <c r="G54" i="2"/>
  <c r="G80" i="2"/>
  <c r="F160" i="2"/>
  <c r="G130" i="2"/>
  <c r="F114" i="2"/>
  <c r="F79" i="2"/>
  <c r="G133" i="2"/>
  <c r="F6" i="2"/>
  <c r="F154" i="2"/>
  <c r="F88" i="2"/>
  <c r="G131" i="2"/>
  <c r="F140" i="2"/>
  <c r="F82" i="2"/>
  <c r="H82" i="2" s="1"/>
  <c r="F48" i="2"/>
  <c r="G162" i="2"/>
  <c r="G13" i="2"/>
  <c r="F15" i="2"/>
  <c r="F2" i="2"/>
  <c r="F147" i="2"/>
  <c r="H147" i="2" s="1"/>
  <c r="G59" i="2"/>
  <c r="G70" i="2"/>
  <c r="F174" i="2"/>
  <c r="G132" i="2"/>
  <c r="F122" i="2"/>
  <c r="F40" i="2"/>
  <c r="G27" i="2"/>
  <c r="G125" i="2"/>
  <c r="F11" i="2"/>
  <c r="H11" i="2" s="1"/>
  <c r="F39" i="2"/>
  <c r="H39" i="2" s="1"/>
  <c r="G154" i="2"/>
  <c r="G168" i="2"/>
  <c r="F107" i="2"/>
  <c r="G3" i="2"/>
  <c r="G101" i="2"/>
  <c r="F136" i="2"/>
  <c r="F182" i="2"/>
  <c r="G103" i="2"/>
  <c r="F170" i="2"/>
  <c r="F102" i="2"/>
  <c r="H102" i="2" s="1"/>
  <c r="G155" i="2"/>
  <c r="F22" i="2"/>
  <c r="H22" i="2" s="1"/>
  <c r="F116" i="2"/>
  <c r="H116" i="2" s="1"/>
  <c r="F183" i="2"/>
  <c r="H183" i="2" s="1"/>
  <c r="G94" i="2"/>
  <c r="F161" i="2"/>
  <c r="F80" i="2"/>
  <c r="G87" i="2"/>
  <c r="G185" i="2"/>
  <c r="G68" i="2"/>
  <c r="F42" i="2"/>
  <c r="G100" i="2"/>
  <c r="G173" i="2"/>
  <c r="G29" i="2"/>
  <c r="F111" i="2"/>
  <c r="H111" i="2" s="1"/>
  <c r="G58" i="2"/>
  <c r="F166" i="2"/>
  <c r="F30" i="2"/>
  <c r="G11" i="2"/>
  <c r="G75" i="2"/>
  <c r="F81" i="2"/>
  <c r="H81" i="2" s="1"/>
  <c r="G74" i="2"/>
  <c r="G172" i="2"/>
  <c r="F64" i="2"/>
  <c r="H64" i="2" s="1"/>
  <c r="F27" i="2"/>
  <c r="H27" i="2" s="1"/>
  <c r="G10" i="2"/>
  <c r="F5" i="2"/>
  <c r="F33" i="2"/>
  <c r="G50" i="2"/>
  <c r="G148" i="2"/>
  <c r="F7" i="2"/>
  <c r="F38" i="2"/>
  <c r="G129" i="2"/>
  <c r="F84" i="2"/>
  <c r="H84" i="2" s="1"/>
  <c r="F149" i="2"/>
  <c r="H149" i="2" s="1"/>
  <c r="G121" i="2"/>
  <c r="F43" i="2"/>
  <c r="H43" i="2" s="1"/>
  <c r="G2" i="2"/>
  <c r="F146" i="2"/>
  <c r="G159" i="2"/>
  <c r="F76" i="2"/>
  <c r="F70" i="2"/>
  <c r="H70" i="2" s="1"/>
  <c r="G134" i="2"/>
  <c r="G41" i="2"/>
  <c r="G61" i="2"/>
  <c r="G91" i="2"/>
  <c r="F175" i="2"/>
  <c r="H175" i="2" s="1"/>
  <c r="G122" i="2"/>
  <c r="F151" i="2"/>
  <c r="H151" i="2" s="1"/>
  <c r="G115" i="2"/>
  <c r="G28" i="2"/>
  <c r="F10" i="2"/>
  <c r="F62" i="2"/>
  <c r="G153" i="2"/>
  <c r="F129" i="2"/>
  <c r="F115" i="2"/>
  <c r="H115" i="2" s="1"/>
  <c r="G186" i="2"/>
  <c r="G4" i="2"/>
  <c r="F21" i="2"/>
  <c r="H21" i="2" s="1"/>
  <c r="F61" i="2"/>
  <c r="H61" i="2" s="1"/>
  <c r="G164" i="2"/>
  <c r="G26" i="2"/>
  <c r="F184" i="2"/>
  <c r="H184" i="2" s="1"/>
  <c r="G143" i="2"/>
  <c r="F152" i="2"/>
  <c r="F179" i="2"/>
  <c r="F169" i="2"/>
  <c r="G93" i="2"/>
  <c r="F49" i="2"/>
  <c r="F68" i="2"/>
  <c r="H68" i="2" s="1"/>
  <c r="G79" i="2"/>
  <c r="G88" i="2"/>
  <c r="F153" i="2"/>
  <c r="H153" i="2" s="1"/>
  <c r="G160" i="2"/>
  <c r="G169" i="2"/>
  <c r="G49" i="2"/>
  <c r="F23" i="2"/>
  <c r="F133" i="2"/>
  <c r="H133" i="2" s="1"/>
  <c r="G57" i="2"/>
  <c r="F87" i="2"/>
  <c r="H87" i="2" s="1"/>
  <c r="F99" i="2"/>
  <c r="G178" i="2"/>
  <c r="G71" i="2"/>
  <c r="F162" i="2"/>
  <c r="H162" i="2" s="1"/>
  <c r="G108" i="2"/>
  <c r="F46" i="2"/>
  <c r="F58" i="2"/>
  <c r="H58" i="2" s="1"/>
  <c r="F85" i="2"/>
  <c r="H85" i="2" s="1"/>
  <c r="G9" i="2"/>
  <c r="F123" i="2"/>
  <c r="F138" i="2"/>
  <c r="H138" i="2" s="1"/>
  <c r="G48" i="2"/>
  <c r="F44" i="2"/>
  <c r="F71" i="2"/>
  <c r="F96" i="2"/>
  <c r="G20" i="2"/>
  <c r="G179" i="2"/>
  <c r="F16" i="2"/>
  <c r="H16" i="2" s="1"/>
  <c r="G106" i="2"/>
  <c r="F91" i="2"/>
  <c r="H91" i="2" s="1"/>
  <c r="F143" i="2"/>
  <c r="H143" i="2" s="1"/>
  <c r="F25" i="2"/>
  <c r="G128" i="2"/>
  <c r="G170" i="2"/>
  <c r="F55" i="2"/>
  <c r="H55" i="2" s="1"/>
  <c r="G73" i="2"/>
  <c r="G76" i="2"/>
  <c r="F171" i="2"/>
  <c r="H171" i="2" s="1"/>
  <c r="F57" i="2"/>
  <c r="H57" i="2" s="1"/>
  <c r="G8" i="2"/>
  <c r="F9" i="2"/>
  <c r="H9" i="2" s="1"/>
  <c r="F34" i="2"/>
  <c r="H34" i="2" s="1"/>
  <c r="F168" i="2"/>
  <c r="H168" i="2" s="1"/>
  <c r="G92" i="2"/>
  <c r="G51" i="2"/>
  <c r="F63" i="2"/>
  <c r="G34" i="2"/>
  <c r="F20" i="2"/>
  <c r="F18" i="2"/>
  <c r="H18" i="2" s="1"/>
  <c r="G127" i="2"/>
  <c r="F66" i="2"/>
  <c r="H66" i="2" s="1"/>
  <c r="F167" i="2"/>
  <c r="F120" i="2"/>
  <c r="G44" i="2"/>
  <c r="F12" i="2"/>
  <c r="H12" i="2" s="1"/>
  <c r="F185" i="2"/>
  <c r="H185" i="2" s="1"/>
  <c r="G171" i="2"/>
  <c r="F113" i="2"/>
  <c r="F176" i="2"/>
  <c r="H176" i="2" s="1"/>
  <c r="G135" i="2"/>
  <c r="G42" i="2"/>
  <c r="G167" i="2"/>
  <c r="F158" i="2"/>
  <c r="H158" i="2" s="1"/>
  <c r="G150" i="2"/>
  <c r="F17" i="2"/>
  <c r="H17" i="2" s="1"/>
  <c r="F118" i="2"/>
  <c r="H118" i="2" s="1"/>
  <c r="F60" i="2"/>
  <c r="H60" i="2" s="1"/>
  <c r="G19" i="2"/>
  <c r="G145" i="2"/>
  <c r="F78" i="2"/>
  <c r="H78" i="2" s="1"/>
  <c r="G95" i="2"/>
  <c r="G110" i="2"/>
  <c r="G62" i="2"/>
  <c r="F72" i="2"/>
  <c r="F77" i="2"/>
  <c r="H77" i="2" s="1"/>
  <c r="F177" i="2"/>
  <c r="H177" i="2" s="1"/>
  <c r="G114" i="2"/>
  <c r="F86" i="2"/>
  <c r="H86" i="2" s="1"/>
  <c r="G177" i="2"/>
  <c r="F186" i="2"/>
  <c r="H186" i="2" s="1"/>
  <c r="F65" i="2"/>
  <c r="H65" i="2" s="1"/>
  <c r="G72" i="2"/>
  <c r="G83" i="2"/>
  <c r="F69" i="2"/>
  <c r="G174" i="2"/>
  <c r="G66" i="2"/>
  <c r="G120" i="2"/>
  <c r="F41" i="2"/>
  <c r="H41" i="2" s="1"/>
  <c r="G36" i="2"/>
  <c r="G69" i="2"/>
  <c r="F83" i="2"/>
  <c r="H83" i="2" s="1"/>
  <c r="G182" i="2"/>
  <c r="G89" i="2"/>
  <c r="G117" i="2"/>
  <c r="F181" i="2"/>
  <c r="H181" i="2" s="1"/>
  <c r="G105" i="2"/>
  <c r="F26" i="2"/>
  <c r="H26" i="2" s="1"/>
  <c r="F104" i="2"/>
  <c r="H104" i="2" s="1"/>
  <c r="G99" i="2"/>
  <c r="G6" i="2"/>
  <c r="G31" i="2"/>
  <c r="F125" i="2"/>
  <c r="H125" i="2" s="1"/>
  <c r="G25" i="2"/>
  <c r="G17" i="2"/>
  <c r="F142" i="2"/>
  <c r="F92" i="2"/>
  <c r="H92" i="2" s="1"/>
  <c r="F110" i="2"/>
  <c r="H110" i="2" s="1"/>
  <c r="G96" i="2"/>
  <c r="F24" i="2"/>
  <c r="H24" i="2" s="1"/>
  <c r="G35" i="2"/>
  <c r="F95" i="2"/>
  <c r="H95" i="2" s="1"/>
  <c r="F127" i="2"/>
  <c r="H127" i="2" s="1"/>
  <c r="G63" i="2"/>
  <c r="G161" i="2"/>
  <c r="G46" i="2"/>
  <c r="F109" i="2"/>
  <c r="H109" i="2" s="1"/>
  <c r="G33" i="2"/>
  <c r="F98" i="2"/>
  <c r="H98" i="2" s="1"/>
  <c r="F75" i="2"/>
  <c r="H75" i="2" s="1"/>
  <c r="G166" i="2"/>
  <c r="F141" i="2"/>
  <c r="H141" i="2" s="1"/>
  <c r="F155" i="2"/>
  <c r="H155" i="2" s="1"/>
  <c r="G15" i="2"/>
  <c r="G113" i="2"/>
  <c r="G5" i="2"/>
  <c r="F14" i="2"/>
  <c r="H14" i="2" s="1"/>
  <c r="G142" i="2"/>
  <c r="F19" i="2"/>
  <c r="H19" i="2" s="1"/>
  <c r="F164" i="2"/>
  <c r="G38" i="2"/>
  <c r="G136" i="2"/>
  <c r="G152" i="2"/>
  <c r="F37" i="2"/>
  <c r="H37" i="2" s="1"/>
  <c r="G140" i="2"/>
  <c r="G123" i="2"/>
  <c r="F130" i="2"/>
  <c r="H130" i="2" s="1"/>
  <c r="G146" i="2"/>
  <c r="G53" i="2"/>
  <c r="G30" i="2"/>
  <c r="F28" i="2"/>
  <c r="H28" i="2" s="1"/>
  <c r="G107" i="2"/>
  <c r="H292" i="3" l="1"/>
  <c r="H364" i="3"/>
  <c r="H528" i="3"/>
  <c r="H61" i="3"/>
  <c r="H133" i="3"/>
  <c r="H205" i="3"/>
  <c r="H206" i="3"/>
  <c r="H301" i="3"/>
  <c r="H373" i="3"/>
  <c r="H9" i="3"/>
  <c r="H153" i="3"/>
  <c r="H287" i="3"/>
  <c r="H359" i="3"/>
  <c r="H562" i="3"/>
  <c r="H81" i="3"/>
  <c r="H225" i="3"/>
  <c r="H198" i="3"/>
  <c r="H444" i="3"/>
  <c r="H516" i="3"/>
  <c r="H298" i="3"/>
  <c r="H370" i="3"/>
  <c r="H451" i="3"/>
  <c r="H523" i="3"/>
  <c r="H183" i="3"/>
  <c r="H387" i="3"/>
  <c r="H248" i="3"/>
  <c r="H421" i="3"/>
  <c r="H161" i="3"/>
  <c r="H234" i="3"/>
  <c r="H319" i="3"/>
  <c r="H508" i="3"/>
  <c r="H73" i="3"/>
  <c r="H145" i="3"/>
  <c r="H74" i="3"/>
  <c r="H146" i="3"/>
  <c r="H60" i="3"/>
  <c r="H132" i="3"/>
  <c r="H204" i="3"/>
  <c r="H241" i="3"/>
  <c r="H313" i="3"/>
  <c r="H385" i="3"/>
  <c r="H21" i="3"/>
  <c r="H93" i="3"/>
  <c r="H165" i="3"/>
  <c r="H442" i="3"/>
  <c r="H492" i="3"/>
  <c r="H564" i="3"/>
  <c r="H41" i="3"/>
  <c r="H284" i="3"/>
  <c r="H249" i="3"/>
  <c r="H290" i="3"/>
  <c r="H280" i="3"/>
  <c r="H352" i="3"/>
  <c r="H424" i="3"/>
  <c r="H459" i="3"/>
  <c r="H222" i="3"/>
  <c r="H405" i="3"/>
  <c r="H65" i="3"/>
  <c r="H265" i="3"/>
  <c r="H337" i="3"/>
  <c r="H45" i="3"/>
  <c r="H117" i="3"/>
  <c r="H189" i="3"/>
  <c r="H251" i="3"/>
  <c r="H323" i="3"/>
  <c r="H395" i="3"/>
  <c r="H480" i="3"/>
  <c r="H552" i="3"/>
  <c r="H30" i="3"/>
  <c r="H102" i="3"/>
  <c r="H262" i="3"/>
  <c r="H334" i="3"/>
  <c r="H398" i="3"/>
  <c r="H487" i="3"/>
  <c r="H559" i="3"/>
  <c r="H381" i="3"/>
  <c r="H436" i="3"/>
  <c r="H495" i="3"/>
  <c r="H274" i="3"/>
  <c r="H346" i="3"/>
  <c r="H59" i="3"/>
  <c r="H131" i="3"/>
  <c r="H449" i="3"/>
  <c r="H140" i="3"/>
  <c r="H37" i="3"/>
  <c r="H109" i="3"/>
  <c r="H181" i="3"/>
  <c r="H277" i="3"/>
  <c r="H349" i="3"/>
  <c r="H339" i="3"/>
  <c r="H435" i="3"/>
  <c r="H363" i="3"/>
  <c r="H66" i="3"/>
  <c r="H138" i="3"/>
  <c r="H572" i="3"/>
  <c r="H536" i="3"/>
  <c r="H182" i="3"/>
  <c r="H89" i="3"/>
  <c r="H50" i="3"/>
  <c r="H122" i="3"/>
  <c r="H440" i="3"/>
  <c r="H432" i="3"/>
  <c r="H504" i="3"/>
  <c r="H54" i="3"/>
  <c r="H199" i="3"/>
  <c r="H286" i="3"/>
  <c r="H358" i="3"/>
  <c r="H368" i="3"/>
  <c r="H439" i="3"/>
  <c r="H511" i="3"/>
  <c r="H443" i="3"/>
  <c r="H543" i="3"/>
  <c r="H563" i="3"/>
  <c r="H126" i="3"/>
  <c r="H483" i="3"/>
  <c r="H427" i="3"/>
  <c r="H375" i="3"/>
  <c r="H308" i="3"/>
  <c r="H345" i="3"/>
  <c r="H438" i="3"/>
  <c r="H11" i="3"/>
  <c r="H83" i="3"/>
  <c r="H155" i="3"/>
  <c r="H170" i="3"/>
  <c r="H315" i="3"/>
  <c r="H396" i="3"/>
  <c r="H51" i="3"/>
  <c r="H123" i="3"/>
  <c r="H64" i="3"/>
  <c r="H136" i="3"/>
  <c r="H208" i="3"/>
  <c r="H5" i="3"/>
  <c r="H77" i="3"/>
  <c r="H149" i="3"/>
  <c r="H221" i="3"/>
  <c r="H285" i="3"/>
  <c r="H429" i="3"/>
  <c r="H254" i="3"/>
  <c r="H23" i="3"/>
  <c r="H95" i="3"/>
  <c r="H167" i="3"/>
  <c r="H38" i="3"/>
  <c r="H110" i="3"/>
  <c r="H24" i="3"/>
  <c r="H96" i="3"/>
  <c r="H168" i="3"/>
  <c r="H244" i="3"/>
  <c r="H316" i="3"/>
  <c r="H388" i="3"/>
  <c r="H55" i="3"/>
  <c r="H63" i="3"/>
  <c r="H135" i="3"/>
  <c r="H4" i="3"/>
  <c r="H76" i="3"/>
  <c r="H148" i="3"/>
  <c r="H220" i="3"/>
  <c r="H466" i="3"/>
  <c r="H538" i="3"/>
  <c r="H485" i="3"/>
  <c r="H557" i="3"/>
  <c r="H69" i="3"/>
  <c r="H141" i="3"/>
  <c r="H213" i="3"/>
  <c r="H101" i="3"/>
  <c r="H173" i="3"/>
  <c r="H275" i="3"/>
  <c r="H347" i="3"/>
  <c r="H419" i="3"/>
  <c r="H391" i="3"/>
  <c r="H413" i="3"/>
  <c r="H546" i="3"/>
  <c r="H3" i="3"/>
  <c r="H147" i="3"/>
  <c r="H16" i="3"/>
  <c r="H88" i="3"/>
  <c r="H160" i="3"/>
  <c r="H232" i="3"/>
  <c r="H34" i="3"/>
  <c r="H151" i="3"/>
  <c r="H272" i="3"/>
  <c r="H130" i="3"/>
  <c r="H154" i="3"/>
  <c r="H175" i="3"/>
  <c r="H269" i="3"/>
  <c r="H341" i="3"/>
  <c r="H288" i="3"/>
  <c r="H478" i="3"/>
  <c r="H474" i="3"/>
  <c r="H408" i="3"/>
  <c r="H431" i="3"/>
  <c r="H553" i="3"/>
  <c r="H433" i="3"/>
  <c r="H505" i="3"/>
  <c r="H32" i="3"/>
  <c r="H75" i="3"/>
  <c r="H42" i="3"/>
  <c r="H114" i="3"/>
  <c r="H62" i="3"/>
  <c r="H134" i="3"/>
  <c r="H48" i="3"/>
  <c r="H120" i="3"/>
  <c r="H192" i="3"/>
  <c r="H215" i="3"/>
  <c r="H163" i="3"/>
  <c r="H320" i="3"/>
  <c r="H414" i="3"/>
  <c r="H420" i="3"/>
  <c r="H497" i="3"/>
  <c r="H569" i="3"/>
  <c r="H372" i="3"/>
  <c r="H356" i="3"/>
  <c r="H476" i="3"/>
  <c r="H185" i="3"/>
  <c r="H178" i="3"/>
  <c r="H10" i="3"/>
  <c r="H187" i="3"/>
  <c r="H202" i="3"/>
  <c r="H211" i="3"/>
  <c r="H118" i="3"/>
  <c r="H281" i="3"/>
  <c r="H353" i="3"/>
  <c r="H425" i="3"/>
  <c r="H392" i="3"/>
  <c r="H490" i="3"/>
  <c r="H467" i="3"/>
  <c r="H422" i="3"/>
  <c r="H539" i="3"/>
  <c r="H469" i="3"/>
  <c r="H541" i="3"/>
  <c r="H106" i="3"/>
  <c r="H191" i="3"/>
  <c r="H58" i="3"/>
  <c r="H416" i="3"/>
  <c r="H384" i="3"/>
  <c r="H27" i="3"/>
  <c r="H99" i="3"/>
  <c r="H40" i="3"/>
  <c r="H112" i="3"/>
  <c r="H184" i="3"/>
  <c r="H125" i="3"/>
  <c r="H197" i="3"/>
  <c r="H214" i="3"/>
  <c r="H296" i="3"/>
  <c r="H227" i="3"/>
  <c r="H299" i="3"/>
  <c r="H371" i="3"/>
  <c r="H164" i="3"/>
  <c r="H22" i="3"/>
  <c r="H302" i="3"/>
  <c r="H293" i="3"/>
  <c r="H365" i="3"/>
  <c r="H532" i="3"/>
  <c r="H430" i="3"/>
  <c r="H479" i="3"/>
  <c r="H537" i="3"/>
  <c r="H542" i="3"/>
  <c r="H491" i="3"/>
  <c r="H503" i="3"/>
  <c r="H565" i="3"/>
  <c r="H13" i="3"/>
  <c r="H85" i="3"/>
  <c r="H157" i="3"/>
  <c r="H71" i="3"/>
  <c r="H143" i="3"/>
  <c r="H14" i="3"/>
  <c r="H86" i="3"/>
  <c r="H72" i="3"/>
  <c r="H144" i="3"/>
  <c r="H216" i="3"/>
  <c r="H226" i="3"/>
  <c r="H200" i="3"/>
  <c r="H253" i="3"/>
  <c r="H325" i="3"/>
  <c r="H397" i="3"/>
  <c r="H236" i="3"/>
  <c r="H188" i="3"/>
  <c r="H348" i="3"/>
  <c r="H264" i="3"/>
  <c r="H471" i="3"/>
  <c r="H344" i="3"/>
  <c r="H517" i="3"/>
  <c r="H513" i="3"/>
  <c r="H453" i="3"/>
  <c r="H441" i="3"/>
  <c r="H39" i="3"/>
  <c r="H111" i="3"/>
  <c r="H52" i="3"/>
  <c r="H124" i="3"/>
  <c r="H196" i="3"/>
  <c r="H33" i="3"/>
  <c r="H105" i="3"/>
  <c r="H177" i="3"/>
  <c r="H209" i="3"/>
  <c r="H239" i="3"/>
  <c r="H311" i="3"/>
  <c r="H383" i="3"/>
  <c r="H142" i="3"/>
  <c r="H235" i="3"/>
  <c r="H305" i="3"/>
  <c r="H377" i="3"/>
  <c r="H312" i="3"/>
  <c r="H240" i="3"/>
  <c r="H406" i="3"/>
  <c r="H212" i="3"/>
  <c r="H527" i="3"/>
  <c r="H445" i="3"/>
  <c r="H525" i="3"/>
  <c r="H203" i="3"/>
  <c r="H190" i="3"/>
  <c r="H332" i="3"/>
  <c r="H314" i="3"/>
  <c r="H276" i="3"/>
  <c r="H489" i="3"/>
  <c r="H530" i="3"/>
  <c r="H336" i="3"/>
  <c r="H500" i="3"/>
  <c r="H70" i="3"/>
  <c r="H245" i="3"/>
  <c r="H317" i="3"/>
  <c r="H389" i="3"/>
  <c r="H360" i="3"/>
  <c r="H176" i="3"/>
  <c r="H454" i="3"/>
  <c r="H566" i="3"/>
  <c r="H481" i="3"/>
  <c r="H515" i="3"/>
  <c r="H554" i="3"/>
  <c r="H549" i="3"/>
  <c r="H426" i="3"/>
  <c r="H18" i="3"/>
  <c r="H90" i="3"/>
  <c r="H162" i="3"/>
  <c r="H250" i="3"/>
  <c r="H322" i="3"/>
  <c r="H394" i="3"/>
  <c r="H152" i="3"/>
  <c r="H350" i="3"/>
  <c r="H380" i="3"/>
  <c r="H362" i="3"/>
  <c r="H338" i="3"/>
  <c r="H428" i="3"/>
  <c r="H452" i="3"/>
  <c r="H477" i="3"/>
  <c r="H560" i="3"/>
  <c r="H457" i="3"/>
  <c r="H551" i="3"/>
  <c r="H57" i="3"/>
  <c r="H129" i="3"/>
  <c r="H201" i="3"/>
  <c r="H260" i="3"/>
  <c r="H263" i="3"/>
  <c r="H335" i="3"/>
  <c r="H407" i="3"/>
  <c r="H223" i="3"/>
  <c r="H297" i="3"/>
  <c r="H82" i="3"/>
  <c r="H266" i="3"/>
  <c r="H224" i="3"/>
  <c r="H257" i="3"/>
  <c r="H329" i="3"/>
  <c r="H418" i="3"/>
  <c r="H496" i="3"/>
  <c r="H300" i="3"/>
  <c r="H252" i="3"/>
  <c r="H455" i="3"/>
  <c r="H529" i="3"/>
  <c r="H374" i="3"/>
  <c r="H555" i="3"/>
  <c r="H326" i="3"/>
  <c r="H49" i="3"/>
  <c r="H121" i="3"/>
  <c r="H193" i="3"/>
  <c r="H35" i="3"/>
  <c r="H107" i="3"/>
  <c r="H194" i="3"/>
  <c r="H36" i="3"/>
  <c r="H108" i="3"/>
  <c r="H180" i="3"/>
  <c r="H94" i="3"/>
  <c r="H179" i="3"/>
  <c r="H289" i="3"/>
  <c r="H361" i="3"/>
  <c r="H46" i="3"/>
  <c r="H256" i="3"/>
  <c r="H328" i="3"/>
  <c r="H400" i="3"/>
  <c r="H166" i="3"/>
  <c r="H404" i="3"/>
  <c r="H324" i="3"/>
  <c r="H386" i="3"/>
  <c r="H465" i="3"/>
  <c r="H501" i="3"/>
  <c r="H493" i="3"/>
  <c r="H2" i="3"/>
  <c r="H44" i="2"/>
  <c r="H99" i="2"/>
  <c r="H49" i="2"/>
  <c r="H182" i="2"/>
  <c r="H122" i="2"/>
  <c r="H140" i="2"/>
  <c r="H56" i="2"/>
  <c r="H54" i="2"/>
  <c r="H150" i="2"/>
  <c r="H180" i="2"/>
  <c r="H74" i="2"/>
  <c r="H113" i="2"/>
  <c r="H63" i="2"/>
  <c r="H38" i="2"/>
  <c r="H136" i="2"/>
  <c r="H144" i="2"/>
  <c r="H164" i="2"/>
  <c r="H142" i="2"/>
  <c r="H169" i="2"/>
  <c r="H129" i="2"/>
  <c r="H7" i="2"/>
  <c r="H80" i="2"/>
  <c r="H174" i="2"/>
  <c r="H88" i="2"/>
  <c r="H135" i="2"/>
  <c r="H101" i="2"/>
  <c r="H112" i="2"/>
  <c r="H31" i="2"/>
  <c r="H128" i="2"/>
  <c r="H126" i="2"/>
  <c r="H25" i="2"/>
  <c r="H123" i="2"/>
  <c r="H179" i="2"/>
  <c r="H30" i="2"/>
  <c r="H161" i="2"/>
  <c r="H154" i="2"/>
  <c r="H172" i="2"/>
  <c r="H97" i="2"/>
  <c r="H134" i="2"/>
  <c r="H121" i="2"/>
  <c r="H23" i="2"/>
  <c r="H152" i="2"/>
  <c r="H62" i="2"/>
  <c r="H76" i="2"/>
  <c r="H166" i="2"/>
  <c r="H107" i="2"/>
  <c r="H6" i="2"/>
  <c r="H53" i="2"/>
  <c r="H159" i="2"/>
  <c r="H178" i="2"/>
  <c r="H89" i="2"/>
  <c r="H4" i="2"/>
  <c r="H3" i="2"/>
  <c r="H10" i="2"/>
  <c r="H33" i="2"/>
  <c r="H117" i="2"/>
  <c r="H103" i="2"/>
  <c r="H132" i="2"/>
  <c r="H173" i="2"/>
  <c r="H145" i="2"/>
  <c r="H50" i="2"/>
  <c r="H120" i="2"/>
  <c r="H146" i="2"/>
  <c r="H5" i="2"/>
  <c r="H2" i="2"/>
  <c r="H79" i="2"/>
  <c r="H51" i="2"/>
  <c r="H8" i="2"/>
  <c r="H167" i="2"/>
  <c r="H46" i="2"/>
  <c r="H15" i="2"/>
  <c r="H114" i="2"/>
  <c r="H29" i="2"/>
  <c r="H131" i="2"/>
  <c r="H32" i="2"/>
  <c r="H13" i="2"/>
  <c r="H148" i="2"/>
  <c r="H73" i="2"/>
  <c r="H72" i="2"/>
  <c r="H160" i="2"/>
  <c r="H105" i="2"/>
  <c r="H96" i="2"/>
  <c r="H42" i="2"/>
  <c r="H170" i="2"/>
  <c r="H48" i="2"/>
  <c r="H35" i="2"/>
  <c r="H108" i="2"/>
  <c r="H36" i="2"/>
  <c r="H106" i="2"/>
  <c r="H156" i="2"/>
  <c r="H69" i="2"/>
  <c r="H20" i="2"/>
  <c r="H71" i="2"/>
  <c r="H40" i="2"/>
  <c r="H163" i="2"/>
  <c r="H119" i="2"/>
  <c r="H100" i="2"/>
</calcChain>
</file>

<file path=xl/sharedStrings.xml><?xml version="1.0" encoding="utf-8"?>
<sst xmlns="http://schemas.openxmlformats.org/spreadsheetml/2006/main" count="2303" uniqueCount="1536">
  <si>
    <t>Nav Point</t>
  </si>
  <si>
    <t>Reference</t>
  </si>
  <si>
    <t>File</t>
  </si>
  <si>
    <t>Lat</t>
  </si>
  <si>
    <t>Lon</t>
  </si>
  <si>
    <t>NIMITZ (UNZ)</t>
  </si>
  <si>
    <t>UAM</t>
  </si>
  <si>
    <t>TACAN Andersen</t>
  </si>
  <si>
    <t>LOGLE</t>
  </si>
  <si>
    <t>UAM D15.0 064°</t>
  </si>
  <si>
    <t>JORUN</t>
  </si>
  <si>
    <t>UAM D6.9 064°</t>
  </si>
  <si>
    <t>KATNE</t>
  </si>
  <si>
    <t>UAM D2.5 064°</t>
  </si>
  <si>
    <t>Approach Andersen ILS 06L</t>
  </si>
  <si>
    <t>FABED</t>
  </si>
  <si>
    <t>UAM D15.0 243°</t>
  </si>
  <si>
    <t>Failed Appr. Andersen 06L</t>
  </si>
  <si>
    <t>HILRI</t>
  </si>
  <si>
    <t>D15.0 UAM 064°</t>
  </si>
  <si>
    <t>Approach Andersen ILS 06R</t>
  </si>
  <si>
    <t>ANIKA</t>
  </si>
  <si>
    <t>UAM D6.6 064°</t>
  </si>
  <si>
    <t>SULUE</t>
  </si>
  <si>
    <t>PANNS</t>
  </si>
  <si>
    <t>UAM D15.0 244°</t>
  </si>
  <si>
    <t>WESOK</t>
  </si>
  <si>
    <t>Andersen Approach D4.6 244°</t>
  </si>
  <si>
    <t>ACUYU</t>
  </si>
  <si>
    <t>UAM D0.5 244°</t>
  </si>
  <si>
    <t>UAM D4.6 244°</t>
  </si>
  <si>
    <t>UAM*T*065.69/4.68 UNZ*C*057.35 PMY*LG*063.87 13-37-15.4100N 145-01-14.4500E</t>
  </si>
  <si>
    <t>ACRON</t>
  </si>
  <si>
    <t>GUAM</t>
  </si>
  <si>
    <t>UNZ*C*274.00/100.00 13-37-25.5100N 143-01-52.1100E</t>
  </si>
  <si>
    <t>UAM*T* /0.50 PMY*LG*063.87 13-35-32.0100N 144-57-18.2600E</t>
  </si>
  <si>
    <t>ADAYI</t>
  </si>
  <si>
    <t>AJA*R*060.51 UNZ*C* /15.57 13-34-20.9000N 144-58-15.0400E</t>
  </si>
  <si>
    <t>ADEDE</t>
  </si>
  <si>
    <t>UNZ*C*244.75/1.99 GUM*LD*246.95/7.28 13-26-29.0100N 144-42-07.2100E</t>
  </si>
  <si>
    <t>ADTIN</t>
  </si>
  <si>
    <t>UAM*T*240.00/17.00 13-27-26.9600N 144-41-23.4900E</t>
  </si>
  <si>
    <t>ALEYE</t>
  </si>
  <si>
    <t>13-29-04.8000N 144-47-47.6800E</t>
  </si>
  <si>
    <t>ALMEH</t>
  </si>
  <si>
    <t>12-46-01.6600N 143-33-38.5300E</t>
  </si>
  <si>
    <t>ANEVY</t>
  </si>
  <si>
    <t>UNZ*C*035.00/148.40 15-26-00.5100N 146-16-26.4700E</t>
  </si>
  <si>
    <t>UNZ*C*048.46 UAM*T*242.61/6.71 UAM*LG*243.87 13-32-35.0000N 144-50-34.5100E</t>
  </si>
  <si>
    <t>ARKEE</t>
  </si>
  <si>
    <t>UAM*T*320.00/17.00 13-48-55.4400N 144-46-02.2900E</t>
  </si>
  <si>
    <t>ASADE</t>
  </si>
  <si>
    <t>UNZ*C*169.00/40.00 12-47-35.4000N 144-50-24.1400E</t>
  </si>
  <si>
    <t>BAGBE</t>
  </si>
  <si>
    <t>UNZ*C*068.00/35.00 13-39-15.5100N 145-17-46.6300E</t>
  </si>
  <si>
    <t>BANNI</t>
  </si>
  <si>
    <t>UNZ*C*052.55/8.00 13-31-55.9300N 144-50-41.2900E</t>
  </si>
  <si>
    <t>BAVAC</t>
  </si>
  <si>
    <t>UAM*T*076.00/0.50 13-35-34.6500N 144-57-17.8200E</t>
  </si>
  <si>
    <t>BOJEL</t>
  </si>
  <si>
    <t>13-27-45.7000N 144-44-54.7500E</t>
  </si>
  <si>
    <t>BOLFY</t>
  </si>
  <si>
    <t>13-27-19.8500N 144-43-58.2700E</t>
  </si>
  <si>
    <t>BRTNE</t>
  </si>
  <si>
    <t>13-36-55.8800N 144-35-02.4400E</t>
  </si>
  <si>
    <t>BURLE</t>
  </si>
  <si>
    <t>13-14-24.0500N 144-39-56.7300E</t>
  </si>
  <si>
    <t>CADUK</t>
  </si>
  <si>
    <t>13-43-26.8300N 144-55-15.3100E</t>
  </si>
  <si>
    <t>CATEN</t>
  </si>
  <si>
    <t>13-28-54.3300N 144-47-41.4900E</t>
  </si>
  <si>
    <t>CCOOK</t>
  </si>
  <si>
    <t>UNZ*C*054.00/12.90 13-34-30.8500N 144-54-58.7700E</t>
  </si>
  <si>
    <t>CEGMU</t>
  </si>
  <si>
    <t>AWD*LD*242.96/7.12 13-26-22.5800N 144-42-09.7800E</t>
  </si>
  <si>
    <t>CETAS</t>
  </si>
  <si>
    <t>UNZ*C*332.00/9.00 13-35-23.8400N 144-39-56.8400E</t>
  </si>
  <si>
    <t>CFCRN</t>
  </si>
  <si>
    <t>13-28-51.9700N 144-54-36.2400E</t>
  </si>
  <si>
    <t>CFCTG</t>
  </si>
  <si>
    <t>13-25-01.9200N 144-46-12.9600E</t>
  </si>
  <si>
    <t>CFCWC</t>
  </si>
  <si>
    <t>13-37-15.4700N 144-53-03.1600E</t>
  </si>
  <si>
    <t>CFCWN</t>
  </si>
  <si>
    <t>13-26-28.8900N 144-55-44.4600E</t>
  </si>
  <si>
    <t>CFDBR</t>
  </si>
  <si>
    <t>13-28-38.2300N 144-54-22.9300E</t>
  </si>
  <si>
    <t>CFDJT</t>
  </si>
  <si>
    <t>13-24-50.4200N 144-46-04.3800E</t>
  </si>
  <si>
    <t>CFDNN</t>
  </si>
  <si>
    <t>13-25-41.8400N 144-55-47.0200E</t>
  </si>
  <si>
    <t>CFGFN</t>
  </si>
  <si>
    <t>13-37-15.9700N 144-52-43.1800E</t>
  </si>
  <si>
    <t>CHOLO</t>
  </si>
  <si>
    <t>13-31-35.8000N 144-53-18.1100E</t>
  </si>
  <si>
    <t>CIBOL</t>
  </si>
  <si>
    <t>13-34-20.7500N 144-59-35.9100E</t>
  </si>
  <si>
    <t>CIMON</t>
  </si>
  <si>
    <t>13-32-17.2600N 144-55-05.6900E</t>
  </si>
  <si>
    <t>COLMA</t>
  </si>
  <si>
    <t>UAM*T*240.00/6.60 13-32-21.5900N 144-50-48.7600E</t>
  </si>
  <si>
    <t>CORUL</t>
  </si>
  <si>
    <t>14-39-33.0300N 144-08-02.8100E</t>
  </si>
  <si>
    <t>CREET</t>
  </si>
  <si>
    <t>UNZ*C*054.25/19.70 13-38-15.3800N 145-00-49.2700E</t>
  </si>
  <si>
    <t>CUDID</t>
  </si>
  <si>
    <t>UNZ*C*241.83/1.50 13-26-36.5100N 144-42-37.0700E</t>
  </si>
  <si>
    <t>DALPE</t>
  </si>
  <si>
    <t>13-23-23.6700N 144-35-39.4300E</t>
  </si>
  <si>
    <t>DELAC</t>
  </si>
  <si>
    <t>13-34-45.2000N 145-02-55.4800E</t>
  </si>
  <si>
    <t>DWAFF</t>
  </si>
  <si>
    <t>UNZ*C*055.50/30.00 13-43-26.4000N 145-09-59.5800E</t>
  </si>
  <si>
    <t>EDIAZ</t>
  </si>
  <si>
    <t>13-51-32.2200N 145-08-22.3200E</t>
  </si>
  <si>
    <t>ENWHY</t>
  </si>
  <si>
    <t>UNZ*C*054.25/14.80 13-35-31.5700N 144-56-38.0800E</t>
  </si>
  <si>
    <t>ERTTS</t>
  </si>
  <si>
    <t>UNZ*C*020.00/46.00 GRO*R*267.09 14-10-05.9500N 145-01-44.1000E</t>
  </si>
  <si>
    <t>ETOME</t>
  </si>
  <si>
    <t>13-25-54.3900N 144-55-41.0100E</t>
  </si>
  <si>
    <t>EVEBE</t>
  </si>
  <si>
    <t>UAM*T*051.00/5.00 13-38-29.6900N 145-00-53.7500E</t>
  </si>
  <si>
    <t>UAM*T*063.41/17.00 13-42-34.1800N 145-12-40.4900E</t>
  </si>
  <si>
    <t>FABHA</t>
  </si>
  <si>
    <t>UAM*T*051.00/45.00 14-02-37.6100N 145-33-46.0000E</t>
  </si>
  <si>
    <t>FAPAM</t>
  </si>
  <si>
    <t>13-25-26.0200N 145-04-04.8400E</t>
  </si>
  <si>
    <t>FAXEL</t>
  </si>
  <si>
    <t>UAM*T*240.00/2.50 13-34-17.6500N 144-54-31.7100E</t>
  </si>
  <si>
    <t>FAYZR</t>
  </si>
  <si>
    <t>UNZ*C*052.54/13.00 13-34-50.5900N 144-54-52.3000E</t>
  </si>
  <si>
    <t>FEGUT</t>
  </si>
  <si>
    <t>13-22-06.6200N 144-47-22.5300E</t>
  </si>
  <si>
    <t>FIBEE</t>
  </si>
  <si>
    <t>UNZ*C*062.23/15.58 13-34-04.1800N 144-58-24.1900E</t>
  </si>
  <si>
    <t>FIGOR</t>
  </si>
  <si>
    <t>UNZ*C*169.00/9.00 13-18-20.7000N 144-45-26.5300E</t>
  </si>
  <si>
    <t>FISON</t>
  </si>
  <si>
    <t>13-26-22.5200N 144-42-09.7800E</t>
  </si>
  <si>
    <t>FLAKE</t>
  </si>
  <si>
    <t>UNZ*C*241.83/7.00 13-24-10.3400N 144-37-33.1300E</t>
  </si>
  <si>
    <t>FOKAI</t>
  </si>
  <si>
    <t>13-33-10.9400N 145-16-40.7800E</t>
  </si>
  <si>
    <t>FOLAP</t>
  </si>
  <si>
    <t>UNZ*C*239.00/19.00 13-18-00.7100N 144-26-57.3700E</t>
  </si>
  <si>
    <t>FOMOD</t>
  </si>
  <si>
    <t>UAM*T*246.00/7.00 13-32-50.2800N 144-50-07.9200E</t>
  </si>
  <si>
    <t>FOVEM</t>
  </si>
  <si>
    <t>UAM*T*051.00/17.00 13-45-44.5300N 145-10-44.7100E</t>
  </si>
  <si>
    <t>GAVDE</t>
  </si>
  <si>
    <t>13-39-31.6200N 144-57-52.4300E</t>
  </si>
  <si>
    <t>GUMGE</t>
  </si>
  <si>
    <t>UNZ*C*127.00/35.00 13-05-07.4800N 145-11-52.1100E</t>
  </si>
  <si>
    <t>HAAMR</t>
  </si>
  <si>
    <t>UNZ*C*052.55/27.00 13-42-59.0800N 145-06-35.6300E</t>
  </si>
  <si>
    <t>HAGIX</t>
  </si>
  <si>
    <t>13-43-38.3500N 144-55-24.1500E</t>
  </si>
  <si>
    <t>HAMAL</t>
  </si>
  <si>
    <t>UNZ*C*343.00/7.00 13-34-03.1600N 144-42-09.3500E</t>
  </si>
  <si>
    <t>HARLO</t>
  </si>
  <si>
    <t>GUM*LD*242.95/7.34 13-26-27.4200N 144-42-03.7400E</t>
  </si>
  <si>
    <t>HASAK</t>
  </si>
  <si>
    <t>13-26-08.1400N 144-55-54.3500E</t>
  </si>
  <si>
    <t>HASRA</t>
  </si>
  <si>
    <t>UAM*T*062.09/4.61 UNZ*C*056.47/19.48 YIG*LG*063.89 13-37-29.8200N 145-01-03.2800E</t>
  </si>
  <si>
    <t>HESNA</t>
  </si>
  <si>
    <t>UNZ*C*259.00/19.00 13-24-16.5500N 144-24-44.6800E</t>
  </si>
  <si>
    <t>HEXOR</t>
  </si>
  <si>
    <t>14-47-29.6000N 144-48-37.2200E</t>
  </si>
  <si>
    <t>UAM*T*243.37/17.00 13-28-20.9300N 144-40-56.1400E</t>
  </si>
  <si>
    <t>HIPRI</t>
  </si>
  <si>
    <t>UNZ*C*055.50/19.70 13-37-53.6700N 145-01-03.7100E</t>
  </si>
  <si>
    <t>HOGOS</t>
  </si>
  <si>
    <t>SN*R*065.76 GSN*LD/6.90 15-10-05.2100N 145-51-11.4000E</t>
  </si>
  <si>
    <t>HOPPY</t>
  </si>
  <si>
    <t>UNZ*C*068.00/100.00 14-01-18.7000N 146-20-39.6000E</t>
  </si>
  <si>
    <t>HUKES</t>
  </si>
  <si>
    <t>13-27-08.4500N 144-43-50.1100E</t>
  </si>
  <si>
    <t>HURUG</t>
  </si>
  <si>
    <t>UAM*T*246.00/17.00 13-29-04.0900N 144-40-37.0700E</t>
  </si>
  <si>
    <t>ICAKE</t>
  </si>
  <si>
    <t>13-22-18.1300N 144-47-31.1500E</t>
  </si>
  <si>
    <t>IKOVY</t>
  </si>
  <si>
    <t>GUM*LD*SW CRS/12.12 13-24-21.2700N 144-37-28.5600E</t>
  </si>
  <si>
    <t>IMEDE</t>
  </si>
  <si>
    <t>14-28-19.4200N 143-50-30.6100E</t>
  </si>
  <si>
    <t>INIME</t>
  </si>
  <si>
    <t>UAM*T* /0.50 YIG*LG*063.89 13-35-48.1800N 144-57-10.9200E</t>
  </si>
  <si>
    <t>ISLAA</t>
  </si>
  <si>
    <t>13-41-47.7400N 145-10-52.4700E</t>
  </si>
  <si>
    <t>ITUME</t>
  </si>
  <si>
    <t>UAM*T*246.00/2.50 13-34-31.9400N 144-54-24.9000E</t>
  </si>
  <si>
    <t>JADKA</t>
  </si>
  <si>
    <t>13-28-24.4700N 145-02-59.8000E</t>
  </si>
  <si>
    <t>JALOB</t>
  </si>
  <si>
    <t>UNZ*C*054.00/8.00 13-31-45.8800N 144-50-48.4500E</t>
  </si>
  <si>
    <t>JARIN</t>
  </si>
  <si>
    <t>14-45-54.2200N 144-27-04.3000E</t>
  </si>
  <si>
    <t>JEVER</t>
  </si>
  <si>
    <t>13-33-27.3200N 144-56-43.6600E</t>
  </si>
  <si>
    <t>JIPRO</t>
  </si>
  <si>
    <t>UAM*T*051.00/0.50 13-35-46.5200N 144-57-12.2900E</t>
  </si>
  <si>
    <t>JITNO</t>
  </si>
  <si>
    <t>UNZ*C*290.30/9.00 13-30-42.0600N 144-35-27.0800E</t>
  </si>
  <si>
    <t>JOMAX</t>
  </si>
  <si>
    <t>13-31-26.0200N 144-53-13.2400E</t>
  </si>
  <si>
    <t>UNZ*C*045.91/8.12 UAM*T*245.09/6.99 AND*LS*243.89 13-32-44.3600N 144-50-11.2100E</t>
  </si>
  <si>
    <t>JUNIE</t>
  </si>
  <si>
    <t>UNZ*C*127.00/180.00 11-32-50.6400N 147-06-28.5100E</t>
  </si>
  <si>
    <t>JUVNI</t>
  </si>
  <si>
    <t>UNZ*C*062.23/9.57 13-31-27.0100N 144-52-50.7700E</t>
  </si>
  <si>
    <t>JWILL</t>
  </si>
  <si>
    <t>13-37-29.6200N 145-01-02.7200E</t>
  </si>
  <si>
    <t>KAPOK</t>
  </si>
  <si>
    <t>UNZ*C*169.00/100.00 11-48-03.3900N 144-59-56.7800E</t>
  </si>
  <si>
    <t>UAM*T* /2.50 AND*LS*243.89 13-34-34.9800N 144-54-23.6800E</t>
  </si>
  <si>
    <t>KATQO</t>
  </si>
  <si>
    <t>UNZ*C*035.00/87.00 14-36-57.3700N 145-37-59.6000E</t>
  </si>
  <si>
    <t>KORDY</t>
  </si>
  <si>
    <t>GSN*LD*245.80*SW CRS/7.34 15-04-40.8800N 145-37-33.7800E</t>
  </si>
  <si>
    <t>LAMYN</t>
  </si>
  <si>
    <t>13-30-50.0300N 144-59-26.1000E</t>
  </si>
  <si>
    <t>UAM*T*244.38/17.00 13-28-37.4100N 144-40-48.5800E</t>
  </si>
  <si>
    <t>LUAAP</t>
  </si>
  <si>
    <t>13-41-30.1400N 145-10-56.8100E</t>
  </si>
  <si>
    <t>LULJY</t>
  </si>
  <si>
    <t>UNZ*C*020.00/87.00 14-48-14.9400N 145-17-38.3000E</t>
  </si>
  <si>
    <t>MADRY</t>
  </si>
  <si>
    <t>13-31-06.6200N 144-59-02.5300E</t>
  </si>
  <si>
    <t>MDBUG</t>
  </si>
  <si>
    <t>UNZ*C*054.25/30.00 13-43-59.4900N 145-09-37.5300E</t>
  </si>
  <si>
    <t>MEMKE</t>
  </si>
  <si>
    <t>AWD*LD*242.96/14.12 13-23-23.7900N 144-35-39.3700E</t>
  </si>
  <si>
    <t>MIWZO</t>
  </si>
  <si>
    <t>13-33-27.1300N 144-56-45.7400E</t>
  </si>
  <si>
    <t>MOBKE</t>
  </si>
  <si>
    <t>GUM*LD*242.95/5.78 13-27-07.3400N 144-43-30.9400E</t>
  </si>
  <si>
    <t>MOGOE</t>
  </si>
  <si>
    <t>UNZ*C* /9.57 AJA*R*060.51 13-31-34.2300N 144-52-47.0700E</t>
  </si>
  <si>
    <t>MOMRE</t>
  </si>
  <si>
    <t>UNZ*C*061.83/1.30 13-27-50.9300N 144-45-11.8000E</t>
  </si>
  <si>
    <t>NARKS</t>
  </si>
  <si>
    <t>UNZ*C*063.00/40.00 13-44-07.2100N 145-21-06.0000E</t>
  </si>
  <si>
    <t>NERIC</t>
  </si>
  <si>
    <t>13-39-42.8700N 145-17-28.1400E</t>
  </si>
  <si>
    <t>NOVKE</t>
  </si>
  <si>
    <t>UNZ*C*062.23/5.11 AJA*R*060.51 13-29-30.3300N 144-48-43.4600E</t>
  </si>
  <si>
    <t>OBALE</t>
  </si>
  <si>
    <t>UNZ*C*243.34/9.00 GUM*LD*242.95/14.29 13-23-29.9600N 144-35-36.4300E</t>
  </si>
  <si>
    <t>OBSAE</t>
  </si>
  <si>
    <t>13-43-53.1200N 144-55-43.7500E</t>
  </si>
  <si>
    <t>OKIBE</t>
  </si>
  <si>
    <t>UAM*T*076.00/5.00 13-36-30.9900N 145-01-49.0100E</t>
  </si>
  <si>
    <t>OPIHY</t>
  </si>
  <si>
    <t>SN*R*065.76 GSN*LD*W CRS/12.80 15-12-19.4700N 145-56-50.3600E</t>
  </si>
  <si>
    <t>OPING</t>
  </si>
  <si>
    <t>13-54-33.2900N 146-01-17.4300E</t>
  </si>
  <si>
    <t>OPLAR</t>
  </si>
  <si>
    <t>UNZ*C*127.00/100.00 12-23-51.4800N 146-03-24.5600E</t>
  </si>
  <si>
    <t>OSKKR</t>
  </si>
  <si>
    <t>13-41-29.9600N 145-10-55.3600E</t>
  </si>
  <si>
    <t>OWEND</t>
  </si>
  <si>
    <t>13-37-24.1400N 145-01-34.2600E</t>
  </si>
  <si>
    <t>UAM*T*064.38/17.00 13-42-18.3400N 145-12-47.7200E</t>
  </si>
  <si>
    <t>PAVYI</t>
  </si>
  <si>
    <t>13-32-04.0000N 144-54-19.8600E</t>
  </si>
  <si>
    <t>PEGIY</t>
  </si>
  <si>
    <t>UAM*T*051.00/11.90 13-42-39.7700N 145-06-33.4800E</t>
  </si>
  <si>
    <t>PIKAY</t>
  </si>
  <si>
    <t>13-32-30.9600N 144-55-18.9000E</t>
  </si>
  <si>
    <t>PIRTY</t>
  </si>
  <si>
    <t>SN*R*065.76 GSN*LD*W CRS/1.90 15-08-11.3200N 145-46-24.2400E</t>
  </si>
  <si>
    <t>PONOI</t>
  </si>
  <si>
    <t>GSN*LD*245.80*SW CRS/17.39 15-00-51.5100N 145-27-56.7000E</t>
  </si>
  <si>
    <t>PULEE</t>
  </si>
  <si>
    <t>UNZ*C*274.00/40.00 13-31-25.0500N 144-03-09.8300E</t>
  </si>
  <si>
    <t>RASPE</t>
  </si>
  <si>
    <t>13-28-03.0800N 144-33-26.0500E</t>
  </si>
  <si>
    <t>REMDE</t>
  </si>
  <si>
    <t>13-39-37.1200N 144-57-47.7800E</t>
  </si>
  <si>
    <t>ROUDY</t>
  </si>
  <si>
    <t>13-41-35.8100N 145-10-25.1900E</t>
  </si>
  <si>
    <t>SANDO</t>
  </si>
  <si>
    <t>GRO*R*101.02 UNZ*C*035.00/53.00 14-09-44.9600N 145-16-49.6800E</t>
  </si>
  <si>
    <t>SEQKO</t>
  </si>
  <si>
    <t>SN*R*065.76 GSN*LD*W CRS/0.46 15-07-38.3900N 145-45-01.2400E</t>
  </si>
  <si>
    <t>SHAKA</t>
  </si>
  <si>
    <t>SN*R*245.79 GSN*LD/4.98 15-05-34.4500N 145-39-48.9700E</t>
  </si>
  <si>
    <t>SHODA</t>
  </si>
  <si>
    <t>15-08-33.7000N 145-47-16.4700E</t>
  </si>
  <si>
    <t>SIDPE</t>
  </si>
  <si>
    <t>13-29-47.6800N 145-01-46.0900E</t>
  </si>
  <si>
    <t>SLEPT</t>
  </si>
  <si>
    <t>13-31-22.0600N 144-53-04.7900E</t>
  </si>
  <si>
    <t>SNAPP</t>
  </si>
  <si>
    <t>UNZ*C*035.00/180.00 15-51-12.3800N 146-36-20.8200E</t>
  </si>
  <si>
    <t>SNOYL</t>
  </si>
  <si>
    <t>13-18-53.1200N 144-43-19.3200E</t>
  </si>
  <si>
    <t>STINE</t>
  </si>
  <si>
    <t>UNZ*C*068.00/180.00 14-28-04.6400N 147-38-19.7100E</t>
  </si>
  <si>
    <t>UAM*T* /2.50 UAM*LG*243.87 13-34-18.7600N 144-54-31.1200E</t>
  </si>
  <si>
    <t>TIMAE</t>
  </si>
  <si>
    <t>UNZ*C*055.50/26.00 13-41-17.2300N 145-06-31.4300E</t>
  </si>
  <si>
    <t>TOCOG</t>
  </si>
  <si>
    <t>UNZ*C*234.00/2.00 13-26-09.0000N 144-42-17.8200E</t>
  </si>
  <si>
    <t>TYPOS</t>
  </si>
  <si>
    <t>13-27-34.2300N 144-44-46.2200E</t>
  </si>
  <si>
    <t>VEAGA</t>
  </si>
  <si>
    <t>UNZ*C*232.58/2.00 13-26-06.5400N 144-42-19.5600E</t>
  </si>
  <si>
    <t>WABOX</t>
  </si>
  <si>
    <t>13-34-32.2300N 144-59-44.6600E</t>
  </si>
  <si>
    <t>WAKRI</t>
  </si>
  <si>
    <t>UNZ*C*034.99 SN*R*065.76 GSN*LD/26.19 15-17-23.6100N 146-09-39.8100E</t>
  </si>
  <si>
    <t>WAMAB</t>
  </si>
  <si>
    <t>UNZ*C*054.00/25.00 13-41-17.9600N 145-05-17.2700E</t>
  </si>
  <si>
    <t>WELKU</t>
  </si>
  <si>
    <t>UAM*T*076.00/17.00 13-39-00.8000N 145-13-52.3700E</t>
  </si>
  <si>
    <t>WENOV</t>
  </si>
  <si>
    <t>12-36-34.4100N 145-47-34.8100E</t>
  </si>
  <si>
    <t>WEVUS</t>
  </si>
  <si>
    <t>UNZ*C*055.50/14.80 13-35-15.2700N 144-56-48.9300E</t>
  </si>
  <si>
    <t>WILLE</t>
  </si>
  <si>
    <t>SN*R*245.79 UNZ*C*020.00/97.97 GSN*LD*245.80/23.71 14-58-27.0000N 145-21-54.3100E</t>
  </si>
  <si>
    <t>WUVEN</t>
  </si>
  <si>
    <t>UNZ*C*332.00/40.00 14-03-22.2700N 144-25-57.5100E</t>
  </si>
  <si>
    <t>YAMMA</t>
  </si>
  <si>
    <t>SN*R*245.79 GSN*LD/13.98 15-02-09.1900N 145-31-12.4000E</t>
  </si>
  <si>
    <t>YASSU</t>
  </si>
  <si>
    <t>UNZ*C*274.00/9.00 13-28-12.9300N 144-34-48.7600E</t>
  </si>
  <si>
    <t>ZADEK</t>
  </si>
  <si>
    <t>UNZ*C*061.83/2.50 13-28-22.8200N 144-46-18.1200E</t>
  </si>
  <si>
    <t>ZAXUS</t>
  </si>
  <si>
    <t>AWD*LD*242.96/5.40 13-27-06.4700N 144-43-45.6900E</t>
  </si>
  <si>
    <t>ZEEKE</t>
  </si>
  <si>
    <t>UNZ*C*169.00/7.00 13-20-19.0500N 144-45-08.3400E</t>
  </si>
  <si>
    <t>ZEGAR</t>
  </si>
  <si>
    <t>12-56-12.6300N 145-59-37.8700E</t>
  </si>
  <si>
    <t>ZEKUR</t>
  </si>
  <si>
    <t>SN*R*065.76 GSN*LD/2.90 15-08-34.1100N 145-47-21.6600E</t>
  </si>
  <si>
    <t>ZUKIE</t>
  </si>
  <si>
    <t>UNZ*C*054.25/26.00 13-41-45.8800N 145-06-12.3700E</t>
  </si>
  <si>
    <t>CENOR</t>
  </si>
  <si>
    <t>N MARIANA ISLANDS</t>
  </si>
  <si>
    <t>15-03-40.0300N 145-24-18.4000E</t>
  </si>
  <si>
    <t>CEPOS</t>
  </si>
  <si>
    <t>14-10-07.7800N 145-18-08.0200E</t>
  </si>
  <si>
    <t>CHENG</t>
  </si>
  <si>
    <t>TKK*RD*034.00/5.00 07-31-13.1200N 151-53-24.5300E</t>
  </si>
  <si>
    <t>COVHI</t>
  </si>
  <si>
    <t>14-52-49.3900N 145-26-28.5000E</t>
  </si>
  <si>
    <t>CULPS</t>
  </si>
  <si>
    <t>UNZ*C*020.00/35.00 13-59-51.6200N 144-57-29.0200E</t>
  </si>
  <si>
    <t>DAMQY</t>
  </si>
  <si>
    <t>14-57-45.1400N 145-25-29.3900E</t>
  </si>
  <si>
    <t>DUCFI</t>
  </si>
  <si>
    <t>15-00-57.8500N 145-42-32.8600E</t>
  </si>
  <si>
    <t>ELOXE</t>
  </si>
  <si>
    <t>14-58-55.1100N 145-31-40.2000E</t>
  </si>
  <si>
    <t>EPCAX</t>
  </si>
  <si>
    <t>14-13-45.3300N 145-03-15.2300E</t>
  </si>
  <si>
    <t>FIHVY</t>
  </si>
  <si>
    <t>15-09-21.1300N 145-49-20.8100E</t>
  </si>
  <si>
    <t>GAFWY</t>
  </si>
  <si>
    <t>14-48-10.2000N 145-50-26.7700E</t>
  </si>
  <si>
    <t>HIRCH</t>
  </si>
  <si>
    <t>UNZ*C*035.00/100.00 SN*R*168.04 14-47-21.1100N 145-46-06.6800E</t>
  </si>
  <si>
    <t>JIDSU</t>
  </si>
  <si>
    <t>GSN*LD*245.80/2.88 15-06-22.5100N 145-41-49.9200E</t>
  </si>
  <si>
    <t>JIRGI</t>
  </si>
  <si>
    <t>14-11-20.6300N 145-03-17.9500E</t>
  </si>
  <si>
    <t>KAQTU</t>
  </si>
  <si>
    <t>UNZ*C*035.00/23.00 13-45-42.9400N 144-58-13.2500E</t>
  </si>
  <si>
    <t>MONIE</t>
  </si>
  <si>
    <t>UNZ*C*020.00/59.00 14-22-11.8700N 145-06-46.0400E</t>
  </si>
  <si>
    <t>ONSUW</t>
  </si>
  <si>
    <t>14-10-50.4700N 145-09-27.8600E</t>
  </si>
  <si>
    <t>OPBUL</t>
  </si>
  <si>
    <t>14-10-17.2300N 145-20-03.6300E</t>
  </si>
  <si>
    <t>REWJU</t>
  </si>
  <si>
    <t>14-00-06.0200N 145-28-32.9600E</t>
  </si>
  <si>
    <t>SADVE</t>
  </si>
  <si>
    <t>15-02-10.8400N 145-49-02.3400E</t>
  </si>
  <si>
    <t>TOXPA</t>
  </si>
  <si>
    <t>14-10-04.6300N 145-26-44.8600E</t>
  </si>
  <si>
    <t>UKUGY</t>
  </si>
  <si>
    <t>15-15-06.9200N 146-00-44.0800E</t>
  </si>
  <si>
    <t>YEYNU</t>
  </si>
  <si>
    <t>14-58-14.2800N 146-02-22.1800E</t>
  </si>
  <si>
    <t>ZILUK</t>
  </si>
  <si>
    <t>15-08-05.6600N 145-46-10.1800E</t>
  </si>
  <si>
    <t>ZOVIK</t>
  </si>
  <si>
    <t>14-18-41.6900N 145-01-36.8400E</t>
  </si>
  <si>
    <t>ADBON</t>
  </si>
  <si>
    <t>OFFSHORE PACIFIC</t>
  </si>
  <si>
    <t>00-00-00.0000N 154-13-42.0000E</t>
  </si>
  <si>
    <t>ADDPO</t>
  </si>
  <si>
    <t>07-53-10.0000N 132-05-25.0000E</t>
  </si>
  <si>
    <t>ADISN</t>
  </si>
  <si>
    <t>04-01-26.0000N 175-21-09.0000W</t>
  </si>
  <si>
    <t>ADOPE</t>
  </si>
  <si>
    <t>28-30-50.0000N 148-49-30.0000W</t>
  </si>
  <si>
    <t>ADOWA</t>
  </si>
  <si>
    <t>13-42-26.0000N 165-49-35.0000W</t>
  </si>
  <si>
    <t>ADTIL</t>
  </si>
  <si>
    <t>34-58-42.0000N 134-42-14.0000W</t>
  </si>
  <si>
    <t>ADUMM</t>
  </si>
  <si>
    <t>33-51-59.9700N 128-47-04.3600W</t>
  </si>
  <si>
    <t>AFONE</t>
  </si>
  <si>
    <t>25-18-00.0000N 132-09-42.0000W</t>
  </si>
  <si>
    <t>AGIRE</t>
  </si>
  <si>
    <t>08-45-08.0000N 132-27-35.0000E</t>
  </si>
  <si>
    <t>AGMIF</t>
  </si>
  <si>
    <t>77-00-00.0000N 141-00-00.0000W</t>
  </si>
  <si>
    <t>AHNDO</t>
  </si>
  <si>
    <t>24-25-42.0000N 131-24-42.0000W</t>
  </si>
  <si>
    <t>AIBIE</t>
  </si>
  <si>
    <t>07-20-50.0000N 133-23-30.0000E</t>
  </si>
  <si>
    <t>AJINK</t>
  </si>
  <si>
    <t>20-07-00.0000N 163-18-00.0000W</t>
  </si>
  <si>
    <t>AKISU</t>
  </si>
  <si>
    <t>47-33-02.6100N 161-20-00.0000E</t>
  </si>
  <si>
    <t>ALANN</t>
  </si>
  <si>
    <t>35-35-48.0000N 125-56-24.0000W</t>
  </si>
  <si>
    <t>ALCOA</t>
  </si>
  <si>
    <t>OAK*D*256.25/171.87 ENI*C*223.59/141.10 37-49-59.7100N 125-50-04.2900W</t>
  </si>
  <si>
    <t>ALLBE</t>
  </si>
  <si>
    <t>37-30-23.0000N 127-00-00.0000W</t>
  </si>
  <si>
    <t>ALLUN</t>
  </si>
  <si>
    <t>NGF*T*340.00/35.00 22-01-43.3600N 157-51-43.4500W</t>
  </si>
  <si>
    <t>ALOCA</t>
  </si>
  <si>
    <t>23-08-01.0000N 157-05-00.0000W</t>
  </si>
  <si>
    <t>AMATT</t>
  </si>
  <si>
    <t>23-15-37.0000N 130-09-52.0000W</t>
  </si>
  <si>
    <t>ANJJE</t>
  </si>
  <si>
    <t>05-00-00.0000N 145-25-48.0000W</t>
  </si>
  <si>
    <t>APACK</t>
  </si>
  <si>
    <t>MKK*C*004.00/180.00 24-02-37.3300N 156-19-10.3500W</t>
  </si>
  <si>
    <t>APIDD</t>
  </si>
  <si>
    <t>21-49-46.0000N 128-01-19.0000W</t>
  </si>
  <si>
    <t>ARENS</t>
  </si>
  <si>
    <t>22-36-15.0000N 129-17-20.0000W</t>
  </si>
  <si>
    <t>ARTOP</t>
  </si>
  <si>
    <t>00-52-41.0000S 180-00-00.0000E</t>
  </si>
  <si>
    <t>ARUYU</t>
  </si>
  <si>
    <t>08-12-51.0000N 133-45-30.0000E</t>
  </si>
  <si>
    <t>ARVII</t>
  </si>
  <si>
    <t>08-53-30.0000N 170-39-23.0000W</t>
  </si>
  <si>
    <t>ATIGO</t>
  </si>
  <si>
    <t>21-00-00.0000N 150-19-00.0000E</t>
  </si>
  <si>
    <t>AUDIA</t>
  </si>
  <si>
    <t>34-14-56.3100N 123-05-24.9600W</t>
  </si>
  <si>
    <t>AUNTI</t>
  </si>
  <si>
    <t>24-43-17.0000N 155-15-47.0000W</t>
  </si>
  <si>
    <t>AXELE</t>
  </si>
  <si>
    <t>31-59-06.0000N 141-55-24.0000W</t>
  </si>
  <si>
    <t>AXIDE</t>
  </si>
  <si>
    <t>12-31-14.0000N 146-59-47.0000E</t>
  </si>
  <si>
    <t>BAART</t>
  </si>
  <si>
    <t>36-27-43.0000N 126-56-00.0000W</t>
  </si>
  <si>
    <t>BAIGE</t>
  </si>
  <si>
    <t>59-00-00.0000N 149-43-00.0000W</t>
  </si>
  <si>
    <t>BAKKA</t>
  </si>
  <si>
    <t>07-55-43.0000N 135-33-54.0000E</t>
  </si>
  <si>
    <t>BALKS</t>
  </si>
  <si>
    <t>20-13-42.0000N 139-21-13.0000W</t>
  </si>
  <si>
    <t>BAMBO</t>
  </si>
  <si>
    <t>MKK*C*299.99/25.41 CKH*C*039.01/14.10 21-24-59.5700N 157-30-36.0400W</t>
  </si>
  <si>
    <t>BAMOK</t>
  </si>
  <si>
    <t>56-25-29.9600N 172-49-18.0300E</t>
  </si>
  <si>
    <t>BARAZ</t>
  </si>
  <si>
    <t>34-01-23.0000N 134-20-46.0000W</t>
  </si>
  <si>
    <t>BARKR</t>
  </si>
  <si>
    <t>18-24-28.0000N 160-48-51.0000W</t>
  </si>
  <si>
    <t>BAYUS</t>
  </si>
  <si>
    <t>00-54-05.0000N 175-12-48.0000W</t>
  </si>
  <si>
    <t>BEBOP</t>
  </si>
  <si>
    <t>SAU*D*230.35/129.06 36-59-59.8000N 125-00-04.1800W</t>
  </si>
  <si>
    <t>BECAN</t>
  </si>
  <si>
    <t>22-44-41.0000N 156-40-42.0000W</t>
  </si>
  <si>
    <t>BEEBO</t>
  </si>
  <si>
    <t>22-24-28.0000N 153-11-26.0000E</t>
  </si>
  <si>
    <t>BEFIN</t>
  </si>
  <si>
    <t>RZS*C*186.00 LAX*C*249.00/83.39 33-46-35.1200N 120-05-25.1600W</t>
  </si>
  <si>
    <t>BEKME</t>
  </si>
  <si>
    <t>27-53-32.0000N 147-58-12.0000W</t>
  </si>
  <si>
    <t>BELAN</t>
  </si>
  <si>
    <t>18-48-27.0000N 138-03-06.0000W</t>
  </si>
  <si>
    <t>BENTS</t>
  </si>
  <si>
    <t>16-53-07.0000N 135-54-00.0000W</t>
  </si>
  <si>
    <t>BESAT</t>
  </si>
  <si>
    <t>59-45-00.0000N 179-25-06.0000E</t>
  </si>
  <si>
    <t>BESSS</t>
  </si>
  <si>
    <t>16-55-00.0000N 147-27-00.0000E</t>
  </si>
  <si>
    <t>BESTS</t>
  </si>
  <si>
    <t>08-29-46.0000N 134-48-42.0000E</t>
  </si>
  <si>
    <t>BESTY</t>
  </si>
  <si>
    <t>06-48-03.0000N 170-33-39.0000W</t>
  </si>
  <si>
    <t>BIGBY</t>
  </si>
  <si>
    <t>14-32-04.0000N 132-18-41.0000W</t>
  </si>
  <si>
    <t>BIITE</t>
  </si>
  <si>
    <t>74-00-00.0000N 141-00-00.0000W</t>
  </si>
  <si>
    <t>BIKUZ</t>
  </si>
  <si>
    <t>22-43-48.0000N 155-42-03.0000W</t>
  </si>
  <si>
    <t>BILLO</t>
  </si>
  <si>
    <t>31-10-42.0000N 141-17-24.0000W</t>
  </si>
  <si>
    <t>BINGE</t>
  </si>
  <si>
    <t>16-29-00.0000N 135-23-01.0000W</t>
  </si>
  <si>
    <t>BISOX</t>
  </si>
  <si>
    <t>00-19-18.0000S 149-29-30.0000W</t>
  </si>
  <si>
    <t>BITGE</t>
  </si>
  <si>
    <t>09-26-16.0000N 135-28-52.0000E</t>
  </si>
  <si>
    <t>BITTA</t>
  </si>
  <si>
    <t>MKK*C*022.00/171.00 23-31-40.9100N 155-28-43.8100W</t>
  </si>
  <si>
    <t>BOARD</t>
  </si>
  <si>
    <t>24-17-45.0000N 154-15-00.0000W</t>
  </si>
  <si>
    <t>BOILS</t>
  </si>
  <si>
    <t>05-00-00.0000S 179-50-48.0000W</t>
  </si>
  <si>
    <t>BOMKE</t>
  </si>
  <si>
    <t>08-52-22.0000N 136-14-18.0000E</t>
  </si>
  <si>
    <t>BORIC</t>
  </si>
  <si>
    <t>15-48-25.0000N 134-25-33.0000W</t>
  </si>
  <si>
    <t>BOSKE</t>
  </si>
  <si>
    <t>37-50-00.0000N 130-00-00.0000W</t>
  </si>
  <si>
    <t>BOWSZ</t>
  </si>
  <si>
    <t>22-21-16.7800N 156-37-04.0600W</t>
  </si>
  <si>
    <t>BOXER</t>
  </si>
  <si>
    <t>42-43-00.0000N 126-10-48.0000W</t>
  </si>
  <si>
    <t>BOYES</t>
  </si>
  <si>
    <t>12-39-05.0000N 165-47-46.0000W</t>
  </si>
  <si>
    <t>BRINY</t>
  </si>
  <si>
    <t>OSI*D*237.00/18.94 PYE*D*151.00/47.47 37-18-17.1400N 122-39-41.9600W</t>
  </si>
  <si>
    <t>BRIUN</t>
  </si>
  <si>
    <t>21-09-04.0000N 163-54-52.0000W</t>
  </si>
  <si>
    <t>BRYDG</t>
  </si>
  <si>
    <t>21-28-02.8900N 157-26-44.2700W</t>
  </si>
  <si>
    <t>BUCAT</t>
  </si>
  <si>
    <t>12-35-36.0000N 143-16-00.0000E</t>
  </si>
  <si>
    <t>BUTEN</t>
  </si>
  <si>
    <t>37-50-55.0000N 127-00-00.0000W</t>
  </si>
  <si>
    <t>CABEG</t>
  </si>
  <si>
    <t>09-20-34.0000N 136-55-28.0000E</t>
  </si>
  <si>
    <t>CAHYO</t>
  </si>
  <si>
    <t>03-30-00.0000N 133-30-00.0000E</t>
  </si>
  <si>
    <t>CAMOS</t>
  </si>
  <si>
    <t>14-53-17.0000N 146-04-18.0000W</t>
  </si>
  <si>
    <t>CANKU</t>
  </si>
  <si>
    <t>19-12-40.5500N 166-59-43.7400E</t>
  </si>
  <si>
    <t>CANOE</t>
  </si>
  <si>
    <t>23-31-39.0000N 155-00-00.0000E</t>
  </si>
  <si>
    <t>CANOL</t>
  </si>
  <si>
    <t>12-57-46.0000N 144-14-35.0000W</t>
  </si>
  <si>
    <t>CARLS</t>
  </si>
  <si>
    <t>10-21-22.0000N 141-15-28.0000W</t>
  </si>
  <si>
    <t>CARRP</t>
  </si>
  <si>
    <t>HNL*C*204.21/162.94 19-04-24.0000N 159-35-00.0000W</t>
  </si>
  <si>
    <t>CEBEN</t>
  </si>
  <si>
    <t>23-46-50.0000N 153-21-58.0000W</t>
  </si>
  <si>
    <t>CEBUR</t>
  </si>
  <si>
    <t>02-38-16.0000N 169-56-48.0000W</t>
  </si>
  <si>
    <t>CEPAS</t>
  </si>
  <si>
    <t>38-07-51.0000N 127-00-00.0000W</t>
  </si>
  <si>
    <t>CERNL</t>
  </si>
  <si>
    <t>33-16-42.1800N 122-25-37.6700W</t>
  </si>
  <si>
    <t>CEVIE</t>
  </si>
  <si>
    <t>08-32-15.0000N 137-24-49.0000E</t>
  </si>
  <si>
    <t>CHEEM</t>
  </si>
  <si>
    <t>18-03-09.0000N 160-16-11.0000W</t>
  </si>
  <si>
    <t>CHIPT</t>
  </si>
  <si>
    <t>51-15-18.0000N 175-20-24.0000E</t>
  </si>
  <si>
    <t>CHOKO</t>
  </si>
  <si>
    <t>20-22-38.4500N 160-52-59.1500W</t>
  </si>
  <si>
    <t>CHRLI</t>
  </si>
  <si>
    <t>08-01-43.0000N 136-33-39.0000E</t>
  </si>
  <si>
    <t>CINNY</t>
  </si>
  <si>
    <t>36-10-54.0000N 124-45-36.0000W</t>
  </si>
  <si>
    <t>CINTO</t>
  </si>
  <si>
    <t>07-09-42.0000N 136-19-32.0000W</t>
  </si>
  <si>
    <t>CIVIT</t>
  </si>
  <si>
    <t>27-14-12.0000N 147-13-11.0000W</t>
  </si>
  <si>
    <t>CLANS</t>
  </si>
  <si>
    <t>12-48-18.0000N 146-18-42.0000E</t>
  </si>
  <si>
    <t>CLUTS</t>
  </si>
  <si>
    <t>MKK*C*040.00/179.00 OGG*C*026.83/159.43 UPP*C*010.42/180.26 23-00-11.7300N 154-39-17.1800W</t>
  </si>
  <si>
    <t>CNALI</t>
  </si>
  <si>
    <t>20-25-07.4500N 154-52-17.2900W</t>
  </si>
  <si>
    <t>COALL</t>
  </si>
  <si>
    <t>80-00-00.0000N 141-00-00.0000W</t>
  </si>
  <si>
    <t>COBAD</t>
  </si>
  <si>
    <t>38-50-00.0000N 130-00-00.0000W</t>
  </si>
  <si>
    <t>COBAL</t>
  </si>
  <si>
    <t>16-37-06.2800N 169-46-57.0300W</t>
  </si>
  <si>
    <t>COBAT</t>
  </si>
  <si>
    <t>08-49-09.0000N 136-03-26.0000E</t>
  </si>
  <si>
    <t>COBIN</t>
  </si>
  <si>
    <t>08-18-58.0000N 135-12-59.0000E</t>
  </si>
  <si>
    <t>COMIR</t>
  </si>
  <si>
    <t>08-53-32.0000N 139-13-38.0000W</t>
  </si>
  <si>
    <t>CONED</t>
  </si>
  <si>
    <t>22-22-09.0000N 156-27-29.0000W</t>
  </si>
  <si>
    <t>CONOP</t>
  </si>
  <si>
    <t>19-15-33.3300N 166-45-14.8300E</t>
  </si>
  <si>
    <t>CORTT</t>
  </si>
  <si>
    <t>30-24-24.0000N 140-42-00.0000W</t>
  </si>
  <si>
    <t>COSAT</t>
  </si>
  <si>
    <t>09-00-00.0000N 152-30-00.0000E</t>
  </si>
  <si>
    <t>COTTA</t>
  </si>
  <si>
    <t>07-30-30.0000N 135-42-03.0000E</t>
  </si>
  <si>
    <t>CREAN</t>
  </si>
  <si>
    <t>35-43-54.0000N 126-05-41.0000W</t>
  </si>
  <si>
    <t>CRESP</t>
  </si>
  <si>
    <t>22-12-20.0000N 163-54-52.0000W</t>
  </si>
  <si>
    <t>CROBY</t>
  </si>
  <si>
    <t>10-16-18.0000N 165-12-15.0000W</t>
  </si>
  <si>
    <t>CRONE</t>
  </si>
  <si>
    <t>16-48-15.4600N 169-21-53.1300W</t>
  </si>
  <si>
    <t>CRONN</t>
  </si>
  <si>
    <t>08-45-00.0000N 138-50-11.0000W</t>
  </si>
  <si>
    <t>CUFFY</t>
  </si>
  <si>
    <t>05-00-00.0000S 174-39-06.0000W</t>
  </si>
  <si>
    <t>CUMNS</t>
  </si>
  <si>
    <t>64-13-30.0000N 168-52-38.0000W</t>
  </si>
  <si>
    <t>CUNDU</t>
  </si>
  <si>
    <t>33-16-51.0000N 133-37-22.0000W</t>
  </si>
  <si>
    <t>CURCH</t>
  </si>
  <si>
    <t>08-17-35.0000N 168-39-08.0000E</t>
  </si>
  <si>
    <t>CUTEE</t>
  </si>
  <si>
    <t>46-24-54.0000N 162-18-36.0000E</t>
  </si>
  <si>
    <t>DACEM</t>
  </si>
  <si>
    <t>38-27-59.0000N 127-00-00.0000W</t>
  </si>
  <si>
    <t>DADIE</t>
  </si>
  <si>
    <t>31-06-11.0000N 132-08-12.0000W</t>
  </si>
  <si>
    <t>DANAC</t>
  </si>
  <si>
    <t>48-03-00.5800N 126-05-20.6100W</t>
  </si>
  <si>
    <t>DANNO</t>
  </si>
  <si>
    <t>23-31-59.6400N 161-34-54.3600W</t>
  </si>
  <si>
    <t>DANYA</t>
  </si>
  <si>
    <t>22-02-25.0000N 156-21-54.0000W</t>
  </si>
  <si>
    <t>DASNE</t>
  </si>
  <si>
    <t>10-12-17.0000N 162-47-29.0000W</t>
  </si>
  <si>
    <t>DATBE</t>
  </si>
  <si>
    <t>17-45-21.0000N 159-32-20.0000W</t>
  </si>
  <si>
    <t>DEKMO</t>
  </si>
  <si>
    <t>88-52-01.0100N 141-00-00.0000W</t>
  </si>
  <si>
    <t>DEKUM</t>
  </si>
  <si>
    <t>21-57-08.0000N 154-35-51.0000W</t>
  </si>
  <si>
    <t>DENNS</t>
  </si>
  <si>
    <t>MKK*C*056.64/197.65 ITO*C*010.68/170.21 OGG*C*047.01/166.58 22-21-48.2400N 153-52-50.1000W</t>
  </si>
  <si>
    <t>DEWOP</t>
  </si>
  <si>
    <t>27-00-00.0000N 161-04-50.0000E</t>
  </si>
  <si>
    <t>DEWSS</t>
  </si>
  <si>
    <t>14-52-30.0000N 148-58-54.0000E</t>
  </si>
  <si>
    <t>DIALO</t>
  </si>
  <si>
    <t>28-42-06.0000N 139-25-36.0000W</t>
  </si>
  <si>
    <t>DIFFY</t>
  </si>
  <si>
    <t>16-39-12.7600N 169-42-13.4500W</t>
  </si>
  <si>
    <t>DIKEC</t>
  </si>
  <si>
    <t>10-01-56.0000N 139-54-15.0000E</t>
  </si>
  <si>
    <t>DINTY</t>
  </si>
  <si>
    <t>RZS*C*233.13/153.20 33-28-58.4900N 122-35-02.3800W</t>
  </si>
  <si>
    <t>DLIMA</t>
  </si>
  <si>
    <t>21-51-50.7800N 156-17-21.7300W</t>
  </si>
  <si>
    <t>DOGIF</t>
  </si>
  <si>
    <t>23-15-30.0000N 163-51-18.0000W</t>
  </si>
  <si>
    <t>DOHRT</t>
  </si>
  <si>
    <t>00-00-00.0000N 156-50-00.0000E</t>
  </si>
  <si>
    <t>DOUKE</t>
  </si>
  <si>
    <t>09-38-41.0000N 139-14-05.0000E</t>
  </si>
  <si>
    <t>DOVRR</t>
  </si>
  <si>
    <t>HNL*C*163.46/155.63 MKK*C*180.12/147.47 18-43-00.0000N 157-40-00.0000W</t>
  </si>
  <si>
    <t>DRAYK</t>
  </si>
  <si>
    <t>23-01-27.0000N 152-34-40.0000W</t>
  </si>
  <si>
    <t>DRIPY</t>
  </si>
  <si>
    <t>10-26-38.0000N 138-44-01.0000E</t>
  </si>
  <si>
    <t>DUETS</t>
  </si>
  <si>
    <t>33-04-10.7600N 124-31-06.4800W</t>
  </si>
  <si>
    <t>DULCE</t>
  </si>
  <si>
    <t>02-36-39.0000N 165-53-49.0000W</t>
  </si>
  <si>
    <t>DUNEY</t>
  </si>
  <si>
    <t>05-00-00.0000S 168-58-06.0000W</t>
  </si>
  <si>
    <t>DUNSS</t>
  </si>
  <si>
    <t>10-50-30.0000N 139-25-14.0000E</t>
  </si>
  <si>
    <t>DUNZL</t>
  </si>
  <si>
    <t>32-35-27.0000N 119-43-12.0000W</t>
  </si>
  <si>
    <t>DUPUF</t>
  </si>
  <si>
    <t>19-19-33.6600N 166-24-56.2900E</t>
  </si>
  <si>
    <t>DUSAC</t>
  </si>
  <si>
    <t>26-00-22.0000N 146-10-03.0000W</t>
  </si>
  <si>
    <t>DYLLI</t>
  </si>
  <si>
    <t>20-55-54.7300N 157-29-18.4800W</t>
  </si>
  <si>
    <t>EBBER</t>
  </si>
  <si>
    <t>UPP*C*047.67/176.35 ITO*C*030.03/158.64 21-42-48.3600N 153-08-50.2200W</t>
  </si>
  <si>
    <t>EBEBE</t>
  </si>
  <si>
    <t>02-35-11.0000N 164-37-19.0000W</t>
  </si>
  <si>
    <t>ECEDO</t>
  </si>
  <si>
    <t>24-10-08.0000N 163-15-59.0000W</t>
  </si>
  <si>
    <t>ECOMI</t>
  </si>
  <si>
    <t>57-00-00.0000N 180-00-00.0000E</t>
  </si>
  <si>
    <t>EDIME</t>
  </si>
  <si>
    <t>08-44-36.0000N 149-39-31.0000E</t>
  </si>
  <si>
    <t>EDOYO</t>
  </si>
  <si>
    <t>09-26-58.0000N 150-17-05.0000E</t>
  </si>
  <si>
    <t>EDSEL</t>
  </si>
  <si>
    <t>32-14-32.4300N 124-05-54.8700W</t>
  </si>
  <si>
    <t>EDTOO</t>
  </si>
  <si>
    <t>32-28-00.1200N 123-00-03.6900W</t>
  </si>
  <si>
    <t>EDWAL</t>
  </si>
  <si>
    <t>56-00-00.0000N 180-00-00.0000E</t>
  </si>
  <si>
    <t>EDWIL</t>
  </si>
  <si>
    <t>43-20-00.0000N 130-57-00.0000W</t>
  </si>
  <si>
    <t>EESSA</t>
  </si>
  <si>
    <t>33-53-46.9900N 119-39-19.2100W</t>
  </si>
  <si>
    <t>EGEBE</t>
  </si>
  <si>
    <t>08-30-50.0000N 151-22-05.0000E</t>
  </si>
  <si>
    <t>EGKEL</t>
  </si>
  <si>
    <t>10-11-28.0000N 162-08-16.0000W</t>
  </si>
  <si>
    <t>ELLES</t>
  </si>
  <si>
    <t>55-00-00.0000N 180-00-00.0000E</t>
  </si>
  <si>
    <t>ELLMS</t>
  </si>
  <si>
    <t>05-00-00.0000S 167-04-07.0000W</t>
  </si>
  <si>
    <t>ELNUR</t>
  </si>
  <si>
    <t>03-30-00.0000N 166-30-30.0000E</t>
  </si>
  <si>
    <t>ELOYI</t>
  </si>
  <si>
    <t>22-20-39.0000N 151-53-07.0000W</t>
  </si>
  <si>
    <t>EMNAK</t>
  </si>
  <si>
    <t>29-00-00.0000N 165-00-00.0000E</t>
  </si>
  <si>
    <t>ENCIN</t>
  </si>
  <si>
    <t>19-18-20.3900N 166-31-09.0300E</t>
  </si>
  <si>
    <t>ENDAW</t>
  </si>
  <si>
    <t>42-55-15.0000N 126-43-02.0000W</t>
  </si>
  <si>
    <t>ENDAX</t>
  </si>
  <si>
    <t>14-15-00.0000N 130-00-00.0000E</t>
  </si>
  <si>
    <t>ENJAY</t>
  </si>
  <si>
    <t>33-34-59.0000N 118-01-39.0000W</t>
  </si>
  <si>
    <t>ERROT</t>
  </si>
  <si>
    <t>25-16-34.0000N 145-30-39.0000W</t>
  </si>
  <si>
    <t>ESPAD</t>
  </si>
  <si>
    <t>19-21-11.0300N 166-16-39.1500E</t>
  </si>
  <si>
    <t>ETECO</t>
  </si>
  <si>
    <t>30-17-09.0000N 131-38-10.0000W</t>
  </si>
  <si>
    <t>ETNIC</t>
  </si>
  <si>
    <t>27-54-42.0000N 138-51-24.0000W</t>
  </si>
  <si>
    <t>ETTER</t>
  </si>
  <si>
    <t>16-46-09.3700N 169-26-37.1200W</t>
  </si>
  <si>
    <t>EWILS</t>
  </si>
  <si>
    <t>07-48-48.0000N 150-44-14.0000E</t>
  </si>
  <si>
    <t>EXAMY</t>
  </si>
  <si>
    <t>54-00-00.0000N 180-00-00.0000E</t>
  </si>
  <si>
    <t>EYETI</t>
  </si>
  <si>
    <t>53-00-00.0000N 180-00-00.0000E</t>
  </si>
  <si>
    <t>EYWAK</t>
  </si>
  <si>
    <t>52-00-00.0000N 180-00-00.0000E</t>
  </si>
  <si>
    <t>FACED</t>
  </si>
  <si>
    <t>00-00-00.0000S 144-00-00.0000E</t>
  </si>
  <si>
    <t>FAPIS</t>
  </si>
  <si>
    <t>21-32-52.0000N 151-27-59.0000W</t>
  </si>
  <si>
    <t>FARAX</t>
  </si>
  <si>
    <t>08-41-53.0000N 168-53-39.0000E</t>
  </si>
  <si>
    <t>FARRA</t>
  </si>
  <si>
    <t>SAU*D*231.00/25.00 PYE*D*180.00 37-41-46.1500N 123-00-55.3900W</t>
  </si>
  <si>
    <t>FASEL</t>
  </si>
  <si>
    <t>47-00-00.0000N 132-08-00.0000W</t>
  </si>
  <si>
    <t>FATMO</t>
  </si>
  <si>
    <t>39-03-49.0000N 127-00-00.0000W</t>
  </si>
  <si>
    <t>FATUM</t>
  </si>
  <si>
    <t>12-42-00.0000N 149-07-00.0000E</t>
  </si>
  <si>
    <t>FEBER</t>
  </si>
  <si>
    <t>07-56-14.0000N 170-30-38.0000E</t>
  </si>
  <si>
    <t>FEKIK</t>
  </si>
  <si>
    <t>20-57-58.7500N 154-21-23.7300W</t>
  </si>
  <si>
    <t>FELLY</t>
  </si>
  <si>
    <t>07-50-46.0000N 168-29-34.0000E</t>
  </si>
  <si>
    <t>FENGR</t>
  </si>
  <si>
    <t>46-04-55.1600N 126-32-47.3000W</t>
  </si>
  <si>
    <t>FENSE</t>
  </si>
  <si>
    <t>03-30-00.0000N 162-15-42.0000E</t>
  </si>
  <si>
    <t>FIBSS</t>
  </si>
  <si>
    <t>11-46-00.0000N 148-47-00.0000E</t>
  </si>
  <si>
    <t>FICKY</t>
  </si>
  <si>
    <t>31-33-27.3800N 121-23-30.4700W</t>
  </si>
  <si>
    <t>FIPMU</t>
  </si>
  <si>
    <t>SN*R*216.24 GSN*LD/9.86 15-00-22.2500N 145-37-30.0000E</t>
  </si>
  <si>
    <t>FITES</t>
  </si>
  <si>
    <t>UPP*C*066.00/164.00 ITO*C*049.16 20-47-40.4000N 153-00-02.2800W</t>
  </si>
  <si>
    <t>FIZEL</t>
  </si>
  <si>
    <t>26-59-42.0000N 138-12-18.0000W</t>
  </si>
  <si>
    <t>FLASH</t>
  </si>
  <si>
    <t>14-13-00.0000N 142-49-00.0000E</t>
  </si>
  <si>
    <t>FLEXX</t>
  </si>
  <si>
    <t>29-57-00.0000N 140-23-00.0000W</t>
  </si>
  <si>
    <t>FLITY</t>
  </si>
  <si>
    <t>29-15-52.0000N 131-01-19.0000W</t>
  </si>
  <si>
    <t>FLYHM</t>
  </si>
  <si>
    <t>25-03-24.0000N 162-38-59.0000W</t>
  </si>
  <si>
    <t>FOLOB</t>
  </si>
  <si>
    <t>07-05-01.0000N 170-06-50.0000E</t>
  </si>
  <si>
    <t>FOMAS</t>
  </si>
  <si>
    <t>24-24-36.0000N 144-59-09.0000W</t>
  </si>
  <si>
    <t>FONUG</t>
  </si>
  <si>
    <t>14-10-52.0000N 146-48-12.0000E</t>
  </si>
  <si>
    <t>FOOTS</t>
  </si>
  <si>
    <t>31-07-55.4100N 123-32-52.8100W</t>
  </si>
  <si>
    <t>FORSE</t>
  </si>
  <si>
    <t>40-04-45.0000N 128-00-00.0000W</t>
  </si>
  <si>
    <t>FOZZI</t>
  </si>
  <si>
    <t>42-55-00.0000N 130-00-00.0000W</t>
  </si>
  <si>
    <t>FRENK</t>
  </si>
  <si>
    <t>66-37-11.9600N 168-58-23.9900W</t>
  </si>
  <si>
    <t>FRIED</t>
  </si>
  <si>
    <t>ICK*R*217.00 ANN*D*214.70 YZP*D*293.59/87.32 54-13-18.7700N 133-37-56.8100W</t>
  </si>
  <si>
    <t>FRMPT</t>
  </si>
  <si>
    <t>46-38-33.0000N 125-23-27.1500W</t>
  </si>
  <si>
    <t>FULMR</t>
  </si>
  <si>
    <t>43-07-38.0000N 126-41-49.0000W</t>
  </si>
  <si>
    <t>FUZZE</t>
  </si>
  <si>
    <t>NGF*T*339.93/23.74 SOK*C*080.61/94.80 21-50-49.2400N 157-49-52.0200W</t>
  </si>
  <si>
    <t>GAASR</t>
  </si>
  <si>
    <t>34-07-34.9600N 120-38-18.3200W</t>
  </si>
  <si>
    <t>GAELN</t>
  </si>
  <si>
    <t>36-25-50.0000N 122-14-27.0000W</t>
  </si>
  <si>
    <t>GALEE</t>
  </si>
  <si>
    <t>05-00-00.0000N 143-37-00.0000E</t>
  </si>
  <si>
    <t>GALIP</t>
  </si>
  <si>
    <t>33-55-00.0000N 124-55-03.9900W</t>
  </si>
  <si>
    <t>GALSS</t>
  </si>
  <si>
    <t>10-27-42.0000N 147-47-30.0000E</t>
  </si>
  <si>
    <t>GAPNE</t>
  </si>
  <si>
    <t>41-12-00.0000N 130-45-00.0000W</t>
  </si>
  <si>
    <t>GARII</t>
  </si>
  <si>
    <t>48-03-40.3000N 126-35-01.4200W</t>
  </si>
  <si>
    <t>GARRY</t>
  </si>
  <si>
    <t>37-19-06.0000N 150-31-24.0000E</t>
  </si>
  <si>
    <t>GENCO</t>
  </si>
  <si>
    <t>25-40-34.0000N 161-41-28.0000W</t>
  </si>
  <si>
    <t>GITLE</t>
  </si>
  <si>
    <t>32-09-57.0000N 132-49-44.0000W</t>
  </si>
  <si>
    <t>GKNEE</t>
  </si>
  <si>
    <t>34-03-41.8100N 119-19-06.8600W</t>
  </si>
  <si>
    <t>GLLOD</t>
  </si>
  <si>
    <t>57-00-00.0000N 149-43-00.0000W</t>
  </si>
  <si>
    <t>GLOEW</t>
  </si>
  <si>
    <t>09-42-40.0000N 167-32-57.0000E</t>
  </si>
  <si>
    <t>GNOSS</t>
  </si>
  <si>
    <t>26-24-03.0000N 160-00-00.0000E</t>
  </si>
  <si>
    <t>GNZZO</t>
  </si>
  <si>
    <t>34-11-28.1400N 119-21-33.9900W</t>
  </si>
  <si>
    <t>GOATZ</t>
  </si>
  <si>
    <t>NUC*T*322.10/10.51 SXC*C*213.00/17.00 33-11-05.4700N 118-40-14.8800W</t>
  </si>
  <si>
    <t>GOOFI</t>
  </si>
  <si>
    <t>10-05-32.0000N 147-19-29.0000E</t>
  </si>
  <si>
    <t>GUAPO</t>
  </si>
  <si>
    <t>31-14-30.0000N 121-08-18.0000W</t>
  </si>
  <si>
    <t>GUNSS</t>
  </si>
  <si>
    <t>10-43-54.0000N 148-03-54.0000E</t>
  </si>
  <si>
    <t>GUPEY</t>
  </si>
  <si>
    <t>51-42-00.0000N 134-15-00.0000W</t>
  </si>
  <si>
    <t>GUYES</t>
  </si>
  <si>
    <t>15-07-48.0000N 144-49-48.0000E</t>
  </si>
  <si>
    <t>HABDA</t>
  </si>
  <si>
    <t>11-05-56.0000N 151-18-56.0000E</t>
  </si>
  <si>
    <t>HABEL</t>
  </si>
  <si>
    <t>08-35-48.0000N 156-07-54.0000E</t>
  </si>
  <si>
    <t>HABIG</t>
  </si>
  <si>
    <t>26-06-18.0000N 160-37-54.0000W</t>
  </si>
  <si>
    <t>HABIT</t>
  </si>
  <si>
    <t>35-36-48.0000N 151-16-18.0000E</t>
  </si>
  <si>
    <t>HALLI</t>
  </si>
  <si>
    <t>30-03-16.0000N 149-05-14.0000W</t>
  </si>
  <si>
    <t>HAMDI</t>
  </si>
  <si>
    <t>07-52-59.0000N 157-28-15.0000E</t>
  </si>
  <si>
    <t>HANAI</t>
  </si>
  <si>
    <t>37-43-55.9200N 123-32-05.9100W</t>
  </si>
  <si>
    <t>HAREN</t>
  </si>
  <si>
    <t>10-13-56.0000N 150-56-24.0000E</t>
  </si>
  <si>
    <t>HARTE</t>
  </si>
  <si>
    <t>07-45-52.0000N 155-41-18.0000E</t>
  </si>
  <si>
    <t>HATHO</t>
  </si>
  <si>
    <t>09-01-04.0000N 166-36-28.0000E</t>
  </si>
  <si>
    <t>HEBUK</t>
  </si>
  <si>
    <t>07-03-04.0000N 157-01-47.0000E</t>
  </si>
  <si>
    <t>HEGIS</t>
  </si>
  <si>
    <t>08-05-19.0000N 166-45-29.0000E</t>
  </si>
  <si>
    <t>HEKAB</t>
  </si>
  <si>
    <t>39-24-45.0000N 134-58-23.0000W</t>
  </si>
  <si>
    <t>HELOP</t>
  </si>
  <si>
    <t>35-00-00.0000N 142-20-31.0000W</t>
  </si>
  <si>
    <t>HEMLO</t>
  </si>
  <si>
    <t>43-18-08.6700N 126-40-50.4100W</t>
  </si>
  <si>
    <t>HEXUG</t>
  </si>
  <si>
    <t>UNZ*C*020.00/90.00 14-51-02.4100N 145-18-48.2700E</t>
  </si>
  <si>
    <t>HILCO</t>
  </si>
  <si>
    <t>30-00-00.0000N 122-31-30.0000W</t>
  </si>
  <si>
    <t>HISPO</t>
  </si>
  <si>
    <t>21-41-42.4300N 157-12-08.3900W</t>
  </si>
  <si>
    <t>HIVRO</t>
  </si>
  <si>
    <t>07-49-37.0000N 165-16-31.0000E</t>
  </si>
  <si>
    <t>HOLOS</t>
  </si>
  <si>
    <t>07-00-29.0000N 160-49-34.0000E</t>
  </si>
  <si>
    <t>HONSO</t>
  </si>
  <si>
    <t>46-43-58.6000N 125-26-14.1000W</t>
  </si>
  <si>
    <t>HONUU</t>
  </si>
  <si>
    <t>20-50-50.0000N 157-19-14.0000W</t>
  </si>
  <si>
    <t>HOOPA</t>
  </si>
  <si>
    <t>21-07-00.0000N 162-50-00.0000W</t>
  </si>
  <si>
    <t>HOOVR</t>
  </si>
  <si>
    <t>09-54-54.0000N 142-50-00.0000E</t>
  </si>
  <si>
    <t>HRBAU</t>
  </si>
  <si>
    <t>47-06-46.5100N 124-32-14.2500W</t>
  </si>
  <si>
    <t>HULLE</t>
  </si>
  <si>
    <t>06-43-24.0000N 159-20-11.0000E</t>
  </si>
  <si>
    <t>HUMDU</t>
  </si>
  <si>
    <t>07-56-02.0000N 160-39-02.0000E</t>
  </si>
  <si>
    <t>HUMET</t>
  </si>
  <si>
    <t>08-45-15.0000N 165-06-28.0000E</t>
  </si>
  <si>
    <t>HUNTS</t>
  </si>
  <si>
    <t>36-55-45.0000N 123-34-00.0000W</t>
  </si>
  <si>
    <t>HURAT</t>
  </si>
  <si>
    <t>07-38-51.0000N 159-09-32.0000E</t>
  </si>
  <si>
    <t>HUTEL</t>
  </si>
  <si>
    <t>09-22-36.0000N 145-18-48.0000E</t>
  </si>
  <si>
    <t>HUULL</t>
  </si>
  <si>
    <t>34-12-05.8100N 120-03-57.1300W</t>
  </si>
  <si>
    <t>IDAAS</t>
  </si>
  <si>
    <t>11-23-18.0000N 141-15-48.0000E</t>
  </si>
  <si>
    <t>IDAVE</t>
  </si>
  <si>
    <t>26-08-41.0000N 158-37-19.0000W</t>
  </si>
  <si>
    <t>IGOTT</t>
  </si>
  <si>
    <t>32-02-00.0000N 120-22-42.0000W</t>
  </si>
  <si>
    <t>IIVRY</t>
  </si>
  <si>
    <t>55-55-00.0000N 144-20-00.0000W</t>
  </si>
  <si>
    <t>ISGOG</t>
  </si>
  <si>
    <t>09-14-42.0000N 130-00-00.0000E</t>
  </si>
  <si>
    <t>JABEE</t>
  </si>
  <si>
    <t>07-52-14.0000N 152-55-25.0000E</t>
  </si>
  <si>
    <t>JAMAR</t>
  </si>
  <si>
    <t>07-45-17.0000N 154-26-11.0000E</t>
  </si>
  <si>
    <t>JARAY</t>
  </si>
  <si>
    <t>07-39-22.0000N 155-40-03.0000E</t>
  </si>
  <si>
    <t>JAYPE</t>
  </si>
  <si>
    <t>07-31-54.0000N 157-10-16.0000E</t>
  </si>
  <si>
    <t>JESRU</t>
  </si>
  <si>
    <t>74-56-48.0000N 141-00-00.0000W</t>
  </si>
  <si>
    <t>JESTE</t>
  </si>
  <si>
    <t>37-39-09.2200N 123-06-39.8500W</t>
  </si>
  <si>
    <t>JIMOS</t>
  </si>
  <si>
    <t>17-03-31.0000N 157-44-57.0000E</t>
  </si>
  <si>
    <t>JIXAL</t>
  </si>
  <si>
    <t>06-35-39.0000N 157-05-28.0000E</t>
  </si>
  <si>
    <t>JOBSS</t>
  </si>
  <si>
    <t>12-34-00.0000N 140-45-00.0000E</t>
  </si>
  <si>
    <t>JOELE</t>
  </si>
  <si>
    <t>MKK*C*347.00/31.73 CKH*C*039.03/37.61 21-40-06.4500N 157-11-14.0800W</t>
  </si>
  <si>
    <t>JOISY</t>
  </si>
  <si>
    <t>16-41-19.1300N 169-37-29.7600W</t>
  </si>
  <si>
    <t>JOLIU</t>
  </si>
  <si>
    <t>21-09-40.3000N 155-10-22.2000W</t>
  </si>
  <si>
    <t>JUPET</t>
  </si>
  <si>
    <t>06-48-53.0000N 154-22-57.0000E</t>
  </si>
  <si>
    <t>JUPNA</t>
  </si>
  <si>
    <t>06-43-08.0000N 155-34-57.0000E</t>
  </si>
  <si>
    <t>JUTIN</t>
  </si>
  <si>
    <t>06-55-51.0000N 152-52-19.0000E</t>
  </si>
  <si>
    <t>JUUSE</t>
  </si>
  <si>
    <t>34-01-09.5500N 118-33-14.6800W</t>
  </si>
  <si>
    <t>KAGGA</t>
  </si>
  <si>
    <t>20-35-29.5900N 154-52-37.7700W</t>
  </si>
  <si>
    <t>KALIN</t>
  </si>
  <si>
    <t>00-00-00.0000S 142-00-00.0000E</t>
  </si>
  <si>
    <t>KANUA</t>
  </si>
  <si>
    <t>47-41-30.0000N 129-46-06.0000W</t>
  </si>
  <si>
    <t>KATHZ</t>
  </si>
  <si>
    <t>06-12-36.0000N 159-04-05.0000E</t>
  </si>
  <si>
    <t>KAVLE</t>
  </si>
  <si>
    <t>05-44-05.0000N 160-26-19.0000E</t>
  </si>
  <si>
    <t>KEALA</t>
  </si>
  <si>
    <t>05-15-18.0000N 161-48-31.0000E</t>
  </si>
  <si>
    <t>KEITH</t>
  </si>
  <si>
    <t>21-00-00.0000N 134-56-48.0000E</t>
  </si>
  <si>
    <t>KEMLE</t>
  </si>
  <si>
    <t>06-08-44.0000N 162-06-47.0000E</t>
  </si>
  <si>
    <t>KEONE</t>
  </si>
  <si>
    <t>04-00-00.0000N 141-55-00.0000E</t>
  </si>
  <si>
    <t>KERNE</t>
  </si>
  <si>
    <t>12-10-00.0000N 138-38-48.0000E</t>
  </si>
  <si>
    <t>KERRY</t>
  </si>
  <si>
    <t>15-50-00.0000N 152-08-30.0000E</t>
  </si>
  <si>
    <t>KISME</t>
  </si>
  <si>
    <t>05-00-00.0000N 148-05-24.0000E</t>
  </si>
  <si>
    <t>KITSS</t>
  </si>
  <si>
    <t>13-50-06.0000N 140-38-42.0000E</t>
  </si>
  <si>
    <t>KL09G</t>
  </si>
  <si>
    <t>31-30-00.0000N 120-00-00.0000W</t>
  </si>
  <si>
    <t>KL12G</t>
  </si>
  <si>
    <t>32-00-00.0000N 120-00-00.0000W</t>
  </si>
  <si>
    <t>KL15G</t>
  </si>
  <si>
    <t>32-30-00.0000N 120-00-00.0000W</t>
  </si>
  <si>
    <t>KL15I</t>
  </si>
  <si>
    <t>32-30-00.0000N 118-00-00.0000W</t>
  </si>
  <si>
    <t>KL18E</t>
  </si>
  <si>
    <t>33-00-00.0000N 122-00-00.0000W</t>
  </si>
  <si>
    <t>KL18G</t>
  </si>
  <si>
    <t>33-00-00.0000N 120-00-00.0000W</t>
  </si>
  <si>
    <t>KL18I</t>
  </si>
  <si>
    <t>33-00-00.0000N 118-00-00.0000W</t>
  </si>
  <si>
    <t>KL21E</t>
  </si>
  <si>
    <t>33-30-00.0000N 122-00-00.0000W</t>
  </si>
  <si>
    <t>KL21G</t>
  </si>
  <si>
    <t>33-30-00.0000N 120-00-00.0000W</t>
  </si>
  <si>
    <t>KL24E</t>
  </si>
  <si>
    <t>34-00-00.0000N 122-00-00.0000W</t>
  </si>
  <si>
    <t>KL27E</t>
  </si>
  <si>
    <t>34-30-00.0000N 122-00-00.0000W</t>
  </si>
  <si>
    <t>KL30E</t>
  </si>
  <si>
    <t>35-00-00.0000N 122-00-00.0000W</t>
  </si>
  <si>
    <t>KNOWS</t>
  </si>
  <si>
    <t>07-06-16.0000N 159-21-39.0000E</t>
  </si>
  <si>
    <t>KO33E</t>
  </si>
  <si>
    <t>35-30-00.0000N 122-00-00.0000W</t>
  </si>
  <si>
    <t>KO36A</t>
  </si>
  <si>
    <t>36-00-00.0000N 126-00-00.0000W</t>
  </si>
  <si>
    <t>KO36C</t>
  </si>
  <si>
    <t>36-00-00.0000N 124-00-00.0000W</t>
  </si>
  <si>
    <t>KO36E</t>
  </si>
  <si>
    <t>36-00-00.0000N 122-00-00.0000W</t>
  </si>
  <si>
    <t>KO39A</t>
  </si>
  <si>
    <t>36-30-00.0000N 126-00-00.0000W</t>
  </si>
  <si>
    <t>KO39C</t>
  </si>
  <si>
    <t>36-30-00.0000N 124-00-00.0000W</t>
  </si>
  <si>
    <t>KO39E</t>
  </si>
  <si>
    <t>36-30-00.0000N 122-00-00.0000W</t>
  </si>
  <si>
    <t>KO42A</t>
  </si>
  <si>
    <t>37-00-00.0000N 126-00-00.0000W</t>
  </si>
  <si>
    <t>KO42C</t>
  </si>
  <si>
    <t>37-00-00.0000N 124-00-00.0000W</t>
  </si>
  <si>
    <t>KO45A</t>
  </si>
  <si>
    <t>37-30-00.0000N 126-00-00.0000W</t>
  </si>
  <si>
    <t>KO45C</t>
  </si>
  <si>
    <t>37-30-00.0000N 124-00-00.0000W</t>
  </si>
  <si>
    <t>KO48A</t>
  </si>
  <si>
    <t>38-00-00.0000N 126-00-00.0000W</t>
  </si>
  <si>
    <t>KO48C</t>
  </si>
  <si>
    <t>38-00-00.0000N 124-00-00.0000W</t>
  </si>
  <si>
    <t>KO51A</t>
  </si>
  <si>
    <t>38-30-00.0000N 126-00-00.0000W</t>
  </si>
  <si>
    <t>KO51C</t>
  </si>
  <si>
    <t>38-30-00.0000N 124-00-00.0000W</t>
  </si>
  <si>
    <t>KO54A</t>
  </si>
  <si>
    <t>39-00-00.0000N 126-00-00.0000W</t>
  </si>
  <si>
    <t>KO54C</t>
  </si>
  <si>
    <t>39-00-00.0000N 124-00-00.0000W</t>
  </si>
  <si>
    <t>KO57A</t>
  </si>
  <si>
    <t>39-30-00.0000N 126-00-00.0000W</t>
  </si>
  <si>
    <t>KO57C</t>
  </si>
  <si>
    <t>39-30-00.0000N 124-00-00.0000W</t>
  </si>
  <si>
    <t>KO60A</t>
  </si>
  <si>
    <t>40-00-00.0000N 126-00-00.0000W</t>
  </si>
  <si>
    <t>KO63A</t>
  </si>
  <si>
    <t>40-30-00.0000N 126-00-00.0000W</t>
  </si>
  <si>
    <t>KOKES</t>
  </si>
  <si>
    <t>54-44-59.9600N 170-06-12.0300E</t>
  </si>
  <si>
    <t>KOONY</t>
  </si>
  <si>
    <t>06-37-21.0000N 160-44-39.0000E</t>
  </si>
  <si>
    <t>KORRL</t>
  </si>
  <si>
    <t>57-00-00.0000N 138-00-00.0000W</t>
  </si>
  <si>
    <t>KRASY</t>
  </si>
  <si>
    <t>05-00-00.0000N 155-27-00.0000E</t>
  </si>
  <si>
    <t>KRONK</t>
  </si>
  <si>
    <t>09-24-00.0000N 154-11-00.0000E</t>
  </si>
  <si>
    <t>KS03A</t>
  </si>
  <si>
    <t>45-30-00.0000N 126-00-00.0000W</t>
  </si>
  <si>
    <t>KS06A</t>
  </si>
  <si>
    <t>46-00-00.0000N 126-00-00.0000W</t>
  </si>
  <si>
    <t>KS09A</t>
  </si>
  <si>
    <t>46-30-00.0000N 126-00-00.0000W</t>
  </si>
  <si>
    <t>KS12A</t>
  </si>
  <si>
    <t>47-00-00.0000N 126-00-00.0000W</t>
  </si>
  <si>
    <t>KS15A</t>
  </si>
  <si>
    <t>47-30-00.0000N 126-00-00.0000W</t>
  </si>
  <si>
    <t>KS18A</t>
  </si>
  <si>
    <t>48-00-00.0000N 126-00-00.0000W</t>
  </si>
  <si>
    <t>KS66A</t>
  </si>
  <si>
    <t>41-00-00.0000N 126-00-00.0000W</t>
  </si>
  <si>
    <t>KS69A</t>
  </si>
  <si>
    <t>41-30-00.0000N 126-00-00.0000W</t>
  </si>
  <si>
    <t>KS72A</t>
  </si>
  <si>
    <t>42-00-00.0000N 126-00-00.0000W</t>
  </si>
  <si>
    <t>KS75A</t>
  </si>
  <si>
    <t>42-30-00.0000N 126-00-00.0000W</t>
  </si>
  <si>
    <t>KS78A</t>
  </si>
  <si>
    <t>43-00-00.0000N 126-00-00.0000W</t>
  </si>
  <si>
    <t>KS81A</t>
  </si>
  <si>
    <t>43-30-00.0000N 126-00-00.0000W</t>
  </si>
  <si>
    <t>KS84A</t>
  </si>
  <si>
    <t>44-00-00.0000N 126-00-00.0000W</t>
  </si>
  <si>
    <t>KS87A</t>
  </si>
  <si>
    <t>44-30-00.0000N 126-00-00.0000W</t>
  </si>
  <si>
    <t>KS90A</t>
  </si>
  <si>
    <t>45-00-00.0000N 126-00-00.0000W</t>
  </si>
  <si>
    <t>KURTT</t>
  </si>
  <si>
    <t>50-11-58.9000N 131-53-05.8900W</t>
  </si>
  <si>
    <t>KYLIO</t>
  </si>
  <si>
    <t>22-14-07.0000N 156-49-47.0000W</t>
  </si>
  <si>
    <t>KYLLE</t>
  </si>
  <si>
    <t>43-26-24.0000N 126-39-24.0000W</t>
  </si>
  <si>
    <t>KYWEE</t>
  </si>
  <si>
    <t>16-40-00.0000N 136-42-00.0000E</t>
  </si>
  <si>
    <t>LADSS</t>
  </si>
  <si>
    <t>14-51-00.0000N 140-50-00.0000E</t>
  </si>
  <si>
    <t>LAGSE</t>
  </si>
  <si>
    <t>07-43-41.0000N 167-08-04.0000E</t>
  </si>
  <si>
    <t>LAHEY</t>
  </si>
  <si>
    <t>82-00-00.0000N 141-00-00.0000W</t>
  </si>
  <si>
    <t>LATNE</t>
  </si>
  <si>
    <t>41-41-41.0000N 126-50-24.0000W</t>
  </si>
  <si>
    <t>LEESL</t>
  </si>
  <si>
    <t>85-30-00.0000N 141-00-00.0000W</t>
  </si>
  <si>
    <t>LEETA</t>
  </si>
  <si>
    <t>15-53-48.0000N 135-00-00.0000E</t>
  </si>
  <si>
    <t>LEKIY</t>
  </si>
  <si>
    <t>06-39-49.0000N 165-36-24.0000E</t>
  </si>
  <si>
    <t>LENIA</t>
  </si>
  <si>
    <t>05-35-47.0000N 164-05-17.0000E</t>
  </si>
  <si>
    <t>LENNA</t>
  </si>
  <si>
    <t>30-31-30.0000N 122-59-42.0000W</t>
  </si>
  <si>
    <t>LIBBO</t>
  </si>
  <si>
    <t>36-00-00.0000N 121-50-00.0000W</t>
  </si>
  <si>
    <t>LICIA</t>
  </si>
  <si>
    <t>08-29-51.0000N 166-35-28.0000E</t>
  </si>
  <si>
    <t>LIDIT</t>
  </si>
  <si>
    <t>09-18-00.0000S 142-20-00.0000E</t>
  </si>
  <si>
    <t>LILIA</t>
  </si>
  <si>
    <t>SOK*C*277.00/120.00 22-30-27.7200N 161-34-59.4600W</t>
  </si>
  <si>
    <t>LIMLE</t>
  </si>
  <si>
    <t>16-39-42.0000N 130-00-00.0000E</t>
  </si>
  <si>
    <t>LINGO</t>
  </si>
  <si>
    <t>53-00-00.0000N 136-34-25.0000W</t>
  </si>
  <si>
    <t>LINUZ</t>
  </si>
  <si>
    <t>41-39-23.0000N 126-30-00.0000W</t>
  </si>
  <si>
    <t>LNDHY</t>
  </si>
  <si>
    <t>21-10-25.0000N 156-07-30.0000W</t>
  </si>
  <si>
    <t>LOEBB</t>
  </si>
  <si>
    <t>12-14-31.0790N 142-40-41.3580E</t>
  </si>
  <si>
    <t>LOOIS</t>
  </si>
  <si>
    <t>08-12-06.0000N 164-44-54.0000E</t>
  </si>
  <si>
    <t>LOWEY</t>
  </si>
  <si>
    <t>07-25-48.0000N 165-03-33.0000E</t>
  </si>
  <si>
    <t>LYNIS</t>
  </si>
  <si>
    <t>06-21-31.0000N 163-32-11.0000E</t>
  </si>
  <si>
    <t>MAEVA</t>
  </si>
  <si>
    <t>03-30-00.0000N 141-05-00.0000W</t>
  </si>
  <si>
    <t>MAFIC</t>
  </si>
  <si>
    <t>35-44-27.3800N 125-03-32.0200W</t>
  </si>
  <si>
    <t>MAKAH</t>
  </si>
  <si>
    <t>20-57-35.9900N 157-34-35.9600W</t>
  </si>
  <si>
    <t>MALIT</t>
  </si>
  <si>
    <t>MZB*C*246.93/121.27 SXC*C*213.00/80.00 32-28-32.1300N 119-35-28.2500W</t>
  </si>
  <si>
    <t>MANEY</t>
  </si>
  <si>
    <t>31-56-51.0000N 127-22-45.0000W</t>
  </si>
  <si>
    <t>MANJO</t>
  </si>
  <si>
    <t>52-00-00.0000N 135-27-26.0000W</t>
  </si>
  <si>
    <t>MANRE</t>
  </si>
  <si>
    <t>15-55-50.0000N 171-33-23.0000W</t>
  </si>
  <si>
    <t>MANZZ</t>
  </si>
  <si>
    <t>35-10-52.6000N 120-54-52.5000W</t>
  </si>
  <si>
    <t>MARTI</t>
  </si>
  <si>
    <t>03-30-00.0000N 169-16-30.0000E</t>
  </si>
  <si>
    <t>MAZZA</t>
  </si>
  <si>
    <t>11-42-32.0000N 180-00-00.0000W</t>
  </si>
  <si>
    <t>MCFLY</t>
  </si>
  <si>
    <t>19-39-29.0000N 162-41-58.0000W</t>
  </si>
  <si>
    <t>MIKYY</t>
  </si>
  <si>
    <t>15-46-00.0000N 141-17-00.0000E</t>
  </si>
  <si>
    <t>MIRAA</t>
  </si>
  <si>
    <t>20-46-08.0000N 157-22-48.0000W</t>
  </si>
  <si>
    <t>MITOH</t>
  </si>
  <si>
    <t>41-47-25.0000N 126-49-53.0000W</t>
  </si>
  <si>
    <t>MKLUK</t>
  </si>
  <si>
    <t>58-31-04.7800N 151-18-28.7600W</t>
  </si>
  <si>
    <t>MOGLE</t>
  </si>
  <si>
    <t>14-02-24.0000N 143-07-30.0000E</t>
  </si>
  <si>
    <t>MONPI</t>
  </si>
  <si>
    <t>21-00-00.0000N 140-36-00.0000E</t>
  </si>
  <si>
    <t>MRRON</t>
  </si>
  <si>
    <t>59-05-00.0000N 150-25-00.0000W</t>
  </si>
  <si>
    <t>MSONA</t>
  </si>
  <si>
    <t>22-48-57.7200N 156-44-48.0600W</t>
  </si>
  <si>
    <t>MUBIT</t>
  </si>
  <si>
    <t>03-30-00.0000N 164-40-06.0000E</t>
  </si>
  <si>
    <t>NAMIE</t>
  </si>
  <si>
    <t>08-59-28.0000N 176-53-05.0000W</t>
  </si>
  <si>
    <t>NAMWE</t>
  </si>
  <si>
    <t>81-00-00.0000N 141-00-00.0000W</t>
  </si>
  <si>
    <t>NAPHA</t>
  </si>
  <si>
    <t>33-31-39.0000N 118-04-18.0000W</t>
  </si>
  <si>
    <t>NATES</t>
  </si>
  <si>
    <t>54-56-00.7700N 171-58-28.8900E</t>
  </si>
  <si>
    <t>NATIE</t>
  </si>
  <si>
    <t>19-52-29.0000N 173-18-50.0000E</t>
  </si>
  <si>
    <t>NATSS</t>
  </si>
  <si>
    <t>16-35-00.0000N 141-57-00.0000E</t>
  </si>
  <si>
    <t>NATTE</t>
  </si>
  <si>
    <t>41-53-35.0000N 126-49-15.0000W</t>
  </si>
  <si>
    <t>NEUTR</t>
  </si>
  <si>
    <t>86-30-00.0000N 141-00-00.0000W</t>
  </si>
  <si>
    <t>NGUEN</t>
  </si>
  <si>
    <t>18-51-23.0000N 166-41-51.0000E</t>
  </si>
  <si>
    <t>NIKKI</t>
  </si>
  <si>
    <t>MKK*C*321.74/42.34 NGF*T*026.00/23.00 21-46-02.1200N 157-30-52.8900W</t>
  </si>
  <si>
    <t>NIPPI</t>
  </si>
  <si>
    <t>49-42-38.4000N 159-20-48.3000E</t>
  </si>
  <si>
    <t>NIXAM</t>
  </si>
  <si>
    <t>03-30-00.0000N 176-11-36.0000E</t>
  </si>
  <si>
    <t>NIXEE</t>
  </si>
  <si>
    <t>19-24-54.0000N 162-23-01.0000W</t>
  </si>
  <si>
    <t>NOLTI</t>
  </si>
  <si>
    <t>59-32-45.9400N 171-54-08.7300W</t>
  </si>
  <si>
    <t>NONEY</t>
  </si>
  <si>
    <t>19-14-19.4200N 166-51-27.2800E</t>
  </si>
  <si>
    <t>NONNI</t>
  </si>
  <si>
    <t>SOK*C*234.00/94.08 HNL*C*258.00/174.88 21-13-42.3000N 161-02-59.5800W</t>
  </si>
  <si>
    <t>NOPOL</t>
  </si>
  <si>
    <t>90-00-00.0000N 000-00-00.0000E</t>
  </si>
  <si>
    <t>NOYES</t>
  </si>
  <si>
    <t>17-48-18.0000N 156-04-05.0000W</t>
  </si>
  <si>
    <t>NRKEY</t>
  </si>
  <si>
    <t>50-12-25.0000N 160-22-39.0000E</t>
  </si>
  <si>
    <t>NUDGE</t>
  </si>
  <si>
    <t>51-00-00.0000N 134-24-02.0000W</t>
  </si>
  <si>
    <t>NUTTI</t>
  </si>
  <si>
    <t>05-00-00.0000N 145-42-24.0000E</t>
  </si>
  <si>
    <t>NUTTO</t>
  </si>
  <si>
    <t>14-18-56.0000N 169-47-55.0000W</t>
  </si>
  <si>
    <t>NUZAN</t>
  </si>
  <si>
    <t>51-39-27.5000N 163-38-41.8000E</t>
  </si>
  <si>
    <t>NYMPH</t>
  </si>
  <si>
    <t>53-24-31.6000N 168-14-23.4000E</t>
  </si>
  <si>
    <t>OATSS</t>
  </si>
  <si>
    <t>16-45-00.0000N 142-10-00.0000E</t>
  </si>
  <si>
    <t>OBOYD</t>
  </si>
  <si>
    <t>56-03-56.7500N 177-58-42.5000E</t>
  </si>
  <si>
    <t>OKOLE</t>
  </si>
  <si>
    <t>06-04-00.0000N 150-31-00.0000E</t>
  </si>
  <si>
    <t>OLBIE</t>
  </si>
  <si>
    <t>07-16-00.0000N 130-00-00.0000E</t>
  </si>
  <si>
    <t>OLGIS</t>
  </si>
  <si>
    <t>10-00-00.0000N 160-56-06.0000E</t>
  </si>
  <si>
    <t>OMEKA</t>
  </si>
  <si>
    <t>78-10-35.9200N 141-00-00.0000W</t>
  </si>
  <si>
    <t>OMLET</t>
  </si>
  <si>
    <t>21-00-00.0000N 142-59-24.0000E</t>
  </si>
  <si>
    <t>OMOTO</t>
  </si>
  <si>
    <t>48-59-42.8000N 160-00-39.1000E</t>
  </si>
  <si>
    <t>ONEIL</t>
  </si>
  <si>
    <t>54-12-08.8000N 172-40-50.9000E</t>
  </si>
  <si>
    <t>ONEOX</t>
  </si>
  <si>
    <t>58-46-00.5000N 171-19-00.6000W</t>
  </si>
  <si>
    <t>OPOLY</t>
  </si>
  <si>
    <t>08-46-20.3900N 167-54-04.0100E</t>
  </si>
  <si>
    <t>ORCAA</t>
  </si>
  <si>
    <t>48-03-55.5300N 124-59-05.9200W</t>
  </si>
  <si>
    <t>OREEO</t>
  </si>
  <si>
    <t>07-26-53.0000N 170-28-09.0000E</t>
  </si>
  <si>
    <t>ORNAI</t>
  </si>
  <si>
    <t>50-00-00.0000N 133-23-51.0000W</t>
  </si>
  <si>
    <t>OTTRE</t>
  </si>
  <si>
    <t>14-24-30.0000N 143-19-12.0000E</t>
  </si>
  <si>
    <t>PAINT</t>
  </si>
  <si>
    <t>38-00-00.0000N 125-30-00.0000W</t>
  </si>
  <si>
    <t>PAKDO</t>
  </si>
  <si>
    <t>21-00-00.0000N 137-49-18.0000E</t>
  </si>
  <si>
    <t>PASIF</t>
  </si>
  <si>
    <t>37-11-38.0000N 123-08-00.0000W</t>
  </si>
  <si>
    <t>PASRO</t>
  </si>
  <si>
    <t>48-17-06.9000N 160-40-31.8000E</t>
  </si>
  <si>
    <t>PASSA</t>
  </si>
  <si>
    <t>05-00-00.0000S 161-31-30.0000W</t>
  </si>
  <si>
    <t>PEASY</t>
  </si>
  <si>
    <t>83-00-00.0000N 141-00-00.0000W</t>
  </si>
  <si>
    <t>PEBLL</t>
  </si>
  <si>
    <t>39-15-40.0600N 124-12-23.6900W</t>
  </si>
  <si>
    <t>PEKAA</t>
  </si>
  <si>
    <t>48-26-22.8000N 126-15-36.0000W</t>
  </si>
  <si>
    <t>PHILY</t>
  </si>
  <si>
    <t>17-01-06.0000N 156-39-24.0000E</t>
  </si>
  <si>
    <t>PHINK</t>
  </si>
  <si>
    <t>55-00-00.0000N 140-00-00.0000W</t>
  </si>
  <si>
    <t>PHUNN</t>
  </si>
  <si>
    <t>33-19-22.3100N 118-05-53.8200W</t>
  </si>
  <si>
    <t>PIGFA</t>
  </si>
  <si>
    <t>11-07-30.0000N 141-24-42.0000E</t>
  </si>
  <si>
    <t>PIKOK</t>
  </si>
  <si>
    <t>00-00-00.0000N 146-08-30.0000E</t>
  </si>
  <si>
    <t>PINSO</t>
  </si>
  <si>
    <t>53-28-08.6000N 173-22-40.8000E</t>
  </si>
  <si>
    <t>PIRAT</t>
  </si>
  <si>
    <t>OSI*D*237.00 PYE*D*162.75 37-15-27.5400N 122-51-48.0700W</t>
  </si>
  <si>
    <t>POETT</t>
  </si>
  <si>
    <t>SPY*RD*033.57/139.36 58-42-38.6600N 166-59-46.3000W</t>
  </si>
  <si>
    <t>POOFF</t>
  </si>
  <si>
    <t>55-17-56.3700N 178-37-04.8400E</t>
  </si>
  <si>
    <t>POXIE</t>
  </si>
  <si>
    <t>08-30-00.0000N 158-30-00.0000E</t>
  </si>
  <si>
    <t>PPERL</t>
  </si>
  <si>
    <t>56-30-00.0000N 156-00-00.0000W</t>
  </si>
  <si>
    <t>PRETY</t>
  </si>
  <si>
    <t>49-00-00.0000N 132-26-36.0000W</t>
  </si>
  <si>
    <t>PUBOC</t>
  </si>
  <si>
    <t>37-19-12.6000N 123-08-11.9300W</t>
  </si>
  <si>
    <t>PULPS</t>
  </si>
  <si>
    <t>LNY*C*095.00/62.68 UPP*C*338.00/16.54 MKK*C*107.96/81.65 20-28-19.7800N 155-53-57.4600W</t>
  </si>
  <si>
    <t>PUPPI</t>
  </si>
  <si>
    <t>SOK*C*260.00/120.00 21-55-16.9800N 161-40-46.6800W</t>
  </si>
  <si>
    <t>QUIGG</t>
  </si>
  <si>
    <t>01-03-34.0000N 155-45-53.0000W</t>
  </si>
  <si>
    <t>RADIC</t>
  </si>
  <si>
    <t>54-00-00.0000N 170-00-00.0000W</t>
  </si>
  <si>
    <t>RAGDE</t>
  </si>
  <si>
    <t>09-47-32.0000N 158-12-52.0000W</t>
  </si>
  <si>
    <t>RAINS</t>
  </si>
  <si>
    <t>OAK*D*218.84/59.10 37-10-03.9200N 123-14-35.9800W</t>
  </si>
  <si>
    <t>RAMIZ</t>
  </si>
  <si>
    <t>05-00-00.0000S 159-05-12.0000W</t>
  </si>
  <si>
    <t>RAYOR</t>
  </si>
  <si>
    <t>02-25-03.0000N 158-39-06.0000W</t>
  </si>
  <si>
    <t>RBOTO</t>
  </si>
  <si>
    <t>34-58-17.8100N 120-40-37.3900W</t>
  </si>
  <si>
    <t>REDRM</t>
  </si>
  <si>
    <t>59-05-00.0000N 163-55-00.0000W</t>
  </si>
  <si>
    <t>REDWD</t>
  </si>
  <si>
    <t>40-00-00.0000N 126-30-00.0000W</t>
  </si>
  <si>
    <t>REEDE</t>
  </si>
  <si>
    <t>14-57-00.0000N 143-59-00.0000E</t>
  </si>
  <si>
    <t>RESEE</t>
  </si>
  <si>
    <t>20-36-27.0000N 180-00-00.0000W</t>
  </si>
  <si>
    <t>RESUM</t>
  </si>
  <si>
    <t>84-14-45.2200N 141-00-00.0000W</t>
  </si>
  <si>
    <t>RICHH</t>
  </si>
  <si>
    <t>17-11-49.0000N 142-49-12.0000E</t>
  </si>
  <si>
    <t>RIDLL</t>
  </si>
  <si>
    <t>16-04-06.0000N 142-25-00.0000E</t>
  </si>
  <si>
    <t>RISBA</t>
  </si>
  <si>
    <t>21-00-00.0000N 154-08-12.0000E</t>
  </si>
  <si>
    <t>RIZON</t>
  </si>
  <si>
    <t>53-00-00.0000N 170-00-00.0000W</t>
  </si>
  <si>
    <t>ROBBN</t>
  </si>
  <si>
    <t>52-00-00.0000N 170-00-00.0000W</t>
  </si>
  <si>
    <t>ROSIN</t>
  </si>
  <si>
    <t>SXC*C*213.00/127.00 31-56-31.5200N 120-16-06.3200W</t>
  </si>
  <si>
    <t>ROUKE</t>
  </si>
  <si>
    <t>48-00-00.0000N 131-32-01.0000W</t>
  </si>
  <si>
    <t>ROVUE</t>
  </si>
  <si>
    <t>37-14-02.2400N 124-07-49.5500W</t>
  </si>
  <si>
    <t>RUDEE</t>
  </si>
  <si>
    <t>17-10-14.0000N 157-45-24.0000W</t>
  </si>
  <si>
    <t>RUTUS</t>
  </si>
  <si>
    <t>00-00-00.0000N 148-49-42.0000E</t>
  </si>
  <si>
    <t>SAJRO</t>
  </si>
  <si>
    <t>57-00-00.0000N 175-00-00.0000W</t>
  </si>
  <si>
    <t>SANTA</t>
  </si>
  <si>
    <t>07-07-30.0000N 150-00-00.0000W</t>
  </si>
  <si>
    <t>SAWIN</t>
  </si>
  <si>
    <t>56-00-00.0000N 175-00-00.0000W</t>
  </si>
  <si>
    <t>SAYNT</t>
  </si>
  <si>
    <t>54-14-56.4000N 140-00-00.0000W</t>
  </si>
  <si>
    <t>SAYTO</t>
  </si>
  <si>
    <t>20-41-49.0000N 151-01-09.0000W</t>
  </si>
  <si>
    <t>SCOON</t>
  </si>
  <si>
    <t>ITO*C*067.00/160.00 20-15-22.7000N 152-14-11.8000W</t>
  </si>
  <si>
    <t>SEDAR</t>
  </si>
  <si>
    <t>45-30-25.6100N 126-43-02.8600W</t>
  </si>
  <si>
    <t>SERCO</t>
  </si>
  <si>
    <t>34-11-31.2400N 120-19-08.3400W</t>
  </si>
  <si>
    <t>SHARI</t>
  </si>
  <si>
    <t>47-40-10.3470N 127-41-07.4700W</t>
  </si>
  <si>
    <t>SHAWS</t>
  </si>
  <si>
    <t>14-43-24.0000N 143-37-12.0000E</t>
  </si>
  <si>
    <t>SHENU</t>
  </si>
  <si>
    <t>40-00-23.0000N 127-00-00.0000W</t>
  </si>
  <si>
    <t>SHHOW</t>
  </si>
  <si>
    <t>33-24-17.4900N 117-59-47.9000W</t>
  </si>
  <si>
    <t>SHLAE</t>
  </si>
  <si>
    <t>21-01-27.9000N 157-35-11.6200W</t>
  </si>
  <si>
    <t>SHOUP</t>
  </si>
  <si>
    <t>79-09-00.0000N 141-00-00.0000W</t>
  </si>
  <si>
    <t>SHREE</t>
  </si>
  <si>
    <t>05-39-00.0000N 131-09-24.0000E</t>
  </si>
  <si>
    <t>SHUMA</t>
  </si>
  <si>
    <t>55-00-00.0000N 175-00-00.0000W</t>
  </si>
  <si>
    <t>SLEDS</t>
  </si>
  <si>
    <t>54-00-00.0000N 175-00-00.0000W</t>
  </si>
  <si>
    <t>SNASS</t>
  </si>
  <si>
    <t>48-18-46.0500N 125-15-02.7100W</t>
  </si>
  <si>
    <t>SNAXX</t>
  </si>
  <si>
    <t>34-08-22.2400N 120-58-38.7600W</t>
  </si>
  <si>
    <t>SPONJ</t>
  </si>
  <si>
    <t>49-22-00.0000N 130-05-06.0000W</t>
  </si>
  <si>
    <t>SPRUC</t>
  </si>
  <si>
    <t>53-00-00.0000N 175-00-00.0000W</t>
  </si>
  <si>
    <t>SPUNG</t>
  </si>
  <si>
    <t>33-25-22.0000N 118-09-40.0000W</t>
  </si>
  <si>
    <t>STEFF</t>
  </si>
  <si>
    <t>06-59-12.0000N 165-15-18.0000E</t>
  </si>
  <si>
    <t>SUDDO</t>
  </si>
  <si>
    <t>VTU*D*272.00/56.04 RZS*C*233.13 34-23-02.0000N 120-07-43.7000W</t>
  </si>
  <si>
    <t>SUPER</t>
  </si>
  <si>
    <t>OAK*D*235.00/80.00 37-18-09.5900N 123-48-46.8700W</t>
  </si>
  <si>
    <t>SYMIN</t>
  </si>
  <si>
    <t>21-26-10.5100N 157-25-22.9900W</t>
  </si>
  <si>
    <t>SYSTA</t>
  </si>
  <si>
    <t>21-05-39.0000N 171-59-22.0000W</t>
  </si>
  <si>
    <t>SYVAD</t>
  </si>
  <si>
    <t>SOK*C*260.06/180.16 21-55-28.0000N 162-45-28.7800W</t>
  </si>
  <si>
    <t>TAKIE</t>
  </si>
  <si>
    <t>11-16-16.0000N 154-24-42.0000W</t>
  </si>
  <si>
    <t>TAPOC</t>
  </si>
  <si>
    <t>36-59-13.4100N 122-50-41.6200W</t>
  </si>
  <si>
    <t>TARDE</t>
  </si>
  <si>
    <t>18-06-32.0000N 155-42-42.0000W</t>
  </si>
  <si>
    <t>TARPP</t>
  </si>
  <si>
    <t>04-25-33.0000N 153-10-04.0000W</t>
  </si>
  <si>
    <t>TEEDE</t>
  </si>
  <si>
    <t>17-25-23.0000N 146-31-05.0000E</t>
  </si>
  <si>
    <t>TEGOD</t>
  </si>
  <si>
    <t>21-00-00.0000N 145-11-48.0000E</t>
  </si>
  <si>
    <t>TENOR</t>
  </si>
  <si>
    <t>02-25-00.0000S 151-57-00.0000W</t>
  </si>
  <si>
    <t>TERAA</t>
  </si>
  <si>
    <t>AWK*C*266.00/17.00 19-17-46.5400N 166-19-40.6800E</t>
  </si>
  <si>
    <t>TERYY</t>
  </si>
  <si>
    <t>17-43-00.0000N 144-59-00.0000E</t>
  </si>
  <si>
    <t>THOMA</t>
  </si>
  <si>
    <t>23-56-36.4200N 160-45-48.6000W</t>
  </si>
  <si>
    <t>TILLY</t>
  </si>
  <si>
    <t>17-11-39.0000N 133-57-22.0000E</t>
  </si>
  <si>
    <t>TNUGE</t>
  </si>
  <si>
    <t>07-00-00.0000N 137-00-00.0000E</t>
  </si>
  <si>
    <t>TOESS</t>
  </si>
  <si>
    <t>17-34-00.0000N 143-50-00.0000E</t>
  </si>
  <si>
    <t>TOKIO</t>
  </si>
  <si>
    <t>35-23-17.3000N 121-09-02.0000W</t>
  </si>
  <si>
    <t>TONYS</t>
  </si>
  <si>
    <t>30-19-51.0000N 122-49-14.0000W</t>
  </si>
  <si>
    <t>TOTOW</t>
  </si>
  <si>
    <t>16-56-23.0000N 155-25-17.0000W</t>
  </si>
  <si>
    <t>TPCAT</t>
  </si>
  <si>
    <t>37-07-30.0000N 122-57-50.0000W</t>
  </si>
  <si>
    <t>TRYSH</t>
  </si>
  <si>
    <t>40-09-05.0000N 127-00-00.0000W</t>
  </si>
  <si>
    <t>UNADY</t>
  </si>
  <si>
    <t>22-46-34.0000N 156-13-57.0000W</t>
  </si>
  <si>
    <t>UNVER</t>
  </si>
  <si>
    <t>40-17-56.0000N 127-00-00.0000W</t>
  </si>
  <si>
    <t>UPNAR</t>
  </si>
  <si>
    <t>03-30-00.0000N 142-48-36.0000W</t>
  </si>
  <si>
    <t>UYHEW</t>
  </si>
  <si>
    <t>SN*R*216.23 GSN*LD/6.58 15-02-58.6400N 145-39-36.7800E</t>
  </si>
  <si>
    <t>VALDA</t>
  </si>
  <si>
    <t>64-23-35.9600N 171-05-17.9900W</t>
  </si>
  <si>
    <t>VAVEE</t>
  </si>
  <si>
    <t>03-30-00.0000N 172-30-00.0000E</t>
  </si>
  <si>
    <t>VESPA</t>
  </si>
  <si>
    <t>40-37-31.0000N 127-00-00.0000W</t>
  </si>
  <si>
    <t>VILEY</t>
  </si>
  <si>
    <t>25-00-00.0000N 157-30-09.0000E</t>
  </si>
  <si>
    <t>VVILT</t>
  </si>
  <si>
    <t>58-55-00.0000N 142-00-00.0000W</t>
  </si>
  <si>
    <t>WACOS</t>
  </si>
  <si>
    <t>01-16-14.0000S 164-00-00.0000W</t>
  </si>
  <si>
    <t>WAHAA</t>
  </si>
  <si>
    <t>16-50-21.4500N 169-17-09.0400W</t>
  </si>
  <si>
    <t>WAYSE</t>
  </si>
  <si>
    <t>08-08-06.0000N 153-49-20.0000W</t>
  </si>
  <si>
    <t>WEDES</t>
  </si>
  <si>
    <t>30-40-05.0000N 123-07-28.0000W</t>
  </si>
  <si>
    <t>WEGAD</t>
  </si>
  <si>
    <t>07-53-22.0000N 173-46-03.0000E</t>
  </si>
  <si>
    <t>WEXUN</t>
  </si>
  <si>
    <t>07-59-32.0000N 171-58-49.0000E</t>
  </si>
  <si>
    <t>WIBIG</t>
  </si>
  <si>
    <t>03-30-00.0000N 138-15-18.0000W</t>
  </si>
  <si>
    <t>WIDEN</t>
  </si>
  <si>
    <t>46-49-31.8000N 127-17-56.0000W</t>
  </si>
  <si>
    <t>WILYE</t>
  </si>
  <si>
    <t>19-08-32.0000N 154-29-00.0000W</t>
  </si>
  <si>
    <t>WINTY</t>
  </si>
  <si>
    <t>11-32-00.0000N 150-00-00.0000W</t>
  </si>
  <si>
    <t>WINZR</t>
  </si>
  <si>
    <t>15-05-36.0000N 144-22-48.0000E</t>
  </si>
  <si>
    <t>WOLEK</t>
  </si>
  <si>
    <t>08-42-49.0000N 173-18-31.0000E</t>
  </si>
  <si>
    <t>WOOBY</t>
  </si>
  <si>
    <t>05-00-00.0000S 168-01-12.0000W</t>
  </si>
  <si>
    <t>WORDN</t>
  </si>
  <si>
    <t>NGF*T*030.00/35.00 21-53-30.6600N 157-21-08.4300W</t>
  </si>
  <si>
    <t>WORKN</t>
  </si>
  <si>
    <t>55-29-19.8000N 145-00-00.0000W</t>
  </si>
  <si>
    <t>WOSLU</t>
  </si>
  <si>
    <t>05-00-00.0000N 157-15-06.0000W</t>
  </si>
  <si>
    <t>WRNNR</t>
  </si>
  <si>
    <t>11-09-48.0000N 132-28-00.0000E</t>
  </si>
  <si>
    <t>WUSES</t>
  </si>
  <si>
    <t>37-39-20.8700N 124-00-05.8800W</t>
  </si>
  <si>
    <t>WUSET</t>
  </si>
  <si>
    <t>07-10-06.0000N 172-26-09.0000E</t>
  </si>
  <si>
    <t>WYNAI</t>
  </si>
  <si>
    <t>20-52-38.8900N 157-19-08.0700W</t>
  </si>
  <si>
    <t>YATZY</t>
  </si>
  <si>
    <t>10-00-00.0000N 136-30-00.0000E</t>
  </si>
  <si>
    <t>YELLO</t>
  </si>
  <si>
    <t>14-10-00.0000N 135-00-00.0000E</t>
  </si>
  <si>
    <t>YUREE</t>
  </si>
  <si>
    <t>64-27-18.1000N 168-52-43.2000W</t>
  </si>
  <si>
    <t>ZAGER</t>
  </si>
  <si>
    <t>39-47-34.0000N 138-07-26.0000W</t>
  </si>
  <si>
    <t>ZANNG</t>
  </si>
  <si>
    <t>44-05-36.0000N 129-58-42.0000W</t>
  </si>
  <si>
    <t>ZAPPP</t>
  </si>
  <si>
    <t>33-34-57.3000N 118-00-18.5300W</t>
  </si>
  <si>
    <t>ZEMOM</t>
  </si>
  <si>
    <t>30-12-56.0000N 151-07-02.0000W</t>
  </si>
  <si>
    <t>ZENNA</t>
  </si>
  <si>
    <t>56-28-21.0000N 150-00-00.0000W</t>
  </si>
  <si>
    <t>ZIGIE</t>
  </si>
  <si>
    <t>MKK*C*347.05/190.00 24-18-49.3000N 157-17-07.3000W</t>
  </si>
  <si>
    <t>ZILAN</t>
  </si>
  <si>
    <t>23-24-49.0000N 157-38-25.0000W</t>
  </si>
  <si>
    <t>ZINNO</t>
  </si>
  <si>
    <t>35-00-00.0000N 145-14-32.0000W</t>
  </si>
  <si>
    <t>ZONSO</t>
  </si>
  <si>
    <t>37-46-17.0500N 124-21-44.5700W</t>
  </si>
  <si>
    <t>ZORTA</t>
  </si>
  <si>
    <t>21-43-48.9800N 157-13-29.7400W</t>
  </si>
  <si>
    <t>ZOULU</t>
  </si>
  <si>
    <t>25-11-45.0000N 156-25-16.0000W</t>
  </si>
  <si>
    <t>ZZOOO</t>
  </si>
  <si>
    <t>32-37-53.2400N 117-14-44.9800W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</si>
</sst>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7"/>
      <color rgb="FF33333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vertical="top"/>
    </xf>
    <xf numFmtId="0" fontId="0" fillId="0" borderId="0" xfId="0" applyAlignment="1">
      <alignment vertical="top" wrapText="1"/>
    </xf>
    <xf numFmtId="0" fontId="1" fillId="2" borderId="1" xfId="0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H572"/>
  <sheetViews>
    <sheetView tabSelected="1" topLeftCell="B1" workbookViewId="0">
      <selection activeCell="H33" sqref="H33:H548"/>
    </sheetView>
  </sheetViews>
  <sheetFormatPr defaultRowHeight="14.4" x14ac:dyDescent="0.3"/>
  <cols>
    <col min="1" max="1" width="5.88671875" bestFit="1" customWidth="1"/>
    <col min="2" max="2" width="14.5546875" customWidth="1"/>
    <col min="3" max="3" width="62.109375" customWidth="1"/>
    <col min="4" max="4" width="15.44140625" customWidth="1"/>
    <col min="5" max="5" width="16.21875" customWidth="1"/>
    <col min="7" max="7" width="13.5546875" customWidth="1"/>
    <col min="8" max="8" width="108.44140625" style="3" customWidth="1"/>
  </cols>
  <sheetData>
    <row r="1" spans="1:8" ht="15" thickBot="1" x14ac:dyDescent="0.35">
      <c r="H1" s="3">
        <v>187</v>
      </c>
    </row>
    <row r="2" spans="1:8" ht="29.4" hidden="1" thickBot="1" x14ac:dyDescent="0.35">
      <c r="A2" s="4" t="s">
        <v>393</v>
      </c>
      <c r="B2" s="4" t="s">
        <v>394</v>
      </c>
      <c r="C2" s="4" t="s">
        <v>395</v>
      </c>
      <c r="D2" t="str">
        <f>findLatitude(C2)</f>
        <v>00-00-00.0000N</v>
      </c>
      <c r="E2" t="str">
        <f>findLongitude(C2)</f>
        <v>154-13-42.0000E</v>
      </c>
      <c r="F2">
        <f>VALUE(MID(D2,1,2))+VALUE(MID(D2,4,2))/60+VALUE(MID(D2,7,7))/(1*3600)</f>
        <v>0</v>
      </c>
      <c r="G2">
        <f t="shared" ref="G2:G3" si="0">(VALUE(MID(E2,1,3))+VALUE(MID(E2,5,2))/60+VALUE(MID(E2,8,7))/(1*3600))*IF(MID(E2,15,1)="E",1,-1)</f>
        <v>154.22833333333332</v>
      </c>
      <c r="H2" s="3" t="str">
        <f>CONCATENATE("[",ROW()+$H$1-1,"] = {","[""comment""] = """,C2,""", ","[""callsignStr""] = """,A2,""", ","[""latitude""] = ",F2,", ","[""longitude""] = ",G2," },")</f>
        <v>[188] = {["comment"] = "00-00-00.0000N 154-13-42.0000E", ["callsignStr"] = "ADBON", ["latitude"] = 0, ["longitude"] = 154.228333333333 },</v>
      </c>
    </row>
    <row r="3" spans="1:8" ht="29.4" hidden="1" thickBot="1" x14ac:dyDescent="0.35">
      <c r="A3" s="4" t="s">
        <v>396</v>
      </c>
      <c r="B3" s="4" t="s">
        <v>394</v>
      </c>
      <c r="C3" s="4" t="s">
        <v>397</v>
      </c>
      <c r="D3" t="str">
        <f t="shared" ref="D3:D66" si="1">findLatitude(C3)</f>
        <v>07-53-10.0000N</v>
      </c>
      <c r="E3" t="str">
        <f t="shared" ref="E3:E66" si="2">findLongitude(C3)</f>
        <v>132-05-25.0000E</v>
      </c>
      <c r="F3">
        <f t="shared" ref="F3:F66" si="3">VALUE(MID(D3,1,2))+VALUE(MID(D3,4,2))/60+VALUE(MID(D3,7,7))/(1*3600)</f>
        <v>7.8861111111111111</v>
      </c>
      <c r="G3">
        <f t="shared" ref="G3:G66" si="4">(VALUE(MID(E3,1,3))+VALUE(MID(E3,5,2))/60+VALUE(MID(E3,8,7))/(1*3600))*IF(MID(E3,15,1)="E",1,-1)</f>
        <v>132.0902777777778</v>
      </c>
      <c r="H3" s="3" t="str">
        <f t="shared" ref="H3:H66" si="5">CONCATENATE("[",ROW()+$H$1-1,"] = {","[""comment""] = """,C3,""", ","[""callsignStr""] = """,A3,""", ","[""latitude""] = ",F3,", ","[""longitude""] = ",G3," },")</f>
        <v>[189] = {["comment"] = "07-53-10.0000N 132-05-25.0000E", ["callsignStr"] = "ADDPO", ["latitude"] = 7.88611111111111, ["longitude"] = 132.090277777778 },</v>
      </c>
    </row>
    <row r="4" spans="1:8" ht="29.4" hidden="1" thickBot="1" x14ac:dyDescent="0.35">
      <c r="A4" s="4" t="s">
        <v>398</v>
      </c>
      <c r="B4" s="4" t="s">
        <v>394</v>
      </c>
      <c r="C4" s="4" t="s">
        <v>399</v>
      </c>
      <c r="D4" t="str">
        <f t="shared" si="1"/>
        <v>04-01-26.0000N</v>
      </c>
      <c r="E4" t="str">
        <f t="shared" si="2"/>
        <v>175-21-09.0000W</v>
      </c>
      <c r="F4">
        <f t="shared" si="3"/>
        <v>4.0238888888888891</v>
      </c>
      <c r="G4">
        <f t="shared" si="4"/>
        <v>-175.35249999999999</v>
      </c>
      <c r="H4" s="3" t="str">
        <f t="shared" si="5"/>
        <v>[190] = {["comment"] = "04-01-26.0000N 175-21-09.0000W", ["callsignStr"] = "ADISN", ["latitude"] = 4.02388888888889, ["longitude"] = -175.3525 },</v>
      </c>
    </row>
    <row r="5" spans="1:8" ht="29.4" hidden="1" thickBot="1" x14ac:dyDescent="0.35">
      <c r="A5" s="4" t="s">
        <v>400</v>
      </c>
      <c r="B5" s="4" t="s">
        <v>394</v>
      </c>
      <c r="C5" s="4" t="s">
        <v>401</v>
      </c>
      <c r="D5" t="str">
        <f t="shared" si="1"/>
        <v>28-30-50.0000N</v>
      </c>
      <c r="E5" t="str">
        <f t="shared" si="2"/>
        <v>148-49-30.0000W</v>
      </c>
      <c r="F5">
        <f t="shared" si="3"/>
        <v>28.513888888888889</v>
      </c>
      <c r="G5">
        <f t="shared" si="4"/>
        <v>-148.82499999999999</v>
      </c>
      <c r="H5" s="3" t="str">
        <f t="shared" si="5"/>
        <v>[191] = {["comment"] = "28-30-50.0000N 148-49-30.0000W", ["callsignStr"] = "ADOPE", ["latitude"] = 28.5138888888889, ["longitude"] = -148.825 },</v>
      </c>
    </row>
    <row r="6" spans="1:8" ht="29.4" hidden="1" thickBot="1" x14ac:dyDescent="0.35">
      <c r="A6" s="4" t="s">
        <v>402</v>
      </c>
      <c r="B6" s="4" t="s">
        <v>394</v>
      </c>
      <c r="C6" s="4" t="s">
        <v>403</v>
      </c>
      <c r="D6" t="str">
        <f t="shared" si="1"/>
        <v>13-42-26.0000N</v>
      </c>
      <c r="E6" t="str">
        <f t="shared" si="2"/>
        <v>165-49-35.0000W</v>
      </c>
      <c r="F6">
        <f t="shared" si="3"/>
        <v>13.707222222222221</v>
      </c>
      <c r="G6">
        <f t="shared" si="4"/>
        <v>-165.82638888888889</v>
      </c>
      <c r="H6" s="3" t="str">
        <f t="shared" si="5"/>
        <v>[192] = {["comment"] = "13-42-26.0000N 165-49-35.0000W", ["callsignStr"] = "ADOWA", ["latitude"] = 13.7072222222222, ["longitude"] = -165.826388888889 },</v>
      </c>
    </row>
    <row r="7" spans="1:8" ht="29.4" hidden="1" thickBot="1" x14ac:dyDescent="0.35">
      <c r="A7" s="4" t="s">
        <v>404</v>
      </c>
      <c r="B7" s="4" t="s">
        <v>394</v>
      </c>
      <c r="C7" s="4" t="s">
        <v>405</v>
      </c>
      <c r="D7" t="str">
        <f t="shared" si="1"/>
        <v>34-58-42.0000N</v>
      </c>
      <c r="E7" t="str">
        <f t="shared" si="2"/>
        <v>134-42-14.0000W</v>
      </c>
      <c r="F7">
        <f t="shared" si="3"/>
        <v>34.978333333333332</v>
      </c>
      <c r="G7">
        <f t="shared" si="4"/>
        <v>-134.70388888888888</v>
      </c>
      <c r="H7" s="3" t="str">
        <f t="shared" si="5"/>
        <v>[193] = {["comment"] = "34-58-42.0000N 134-42-14.0000W", ["callsignStr"] = "ADTIL", ["latitude"] = 34.9783333333333, ["longitude"] = -134.703888888889 },</v>
      </c>
    </row>
    <row r="8" spans="1:8" ht="29.4" hidden="1" thickBot="1" x14ac:dyDescent="0.35">
      <c r="A8" s="4" t="s">
        <v>406</v>
      </c>
      <c r="B8" s="4" t="s">
        <v>394</v>
      </c>
      <c r="C8" s="4" t="s">
        <v>407</v>
      </c>
      <c r="D8" t="str">
        <f t="shared" si="1"/>
        <v>33-51-59.9700N</v>
      </c>
      <c r="E8" t="str">
        <f t="shared" si="2"/>
        <v>128-47-04.3600W</v>
      </c>
      <c r="F8">
        <f t="shared" si="3"/>
        <v>33.866658333333334</v>
      </c>
      <c r="G8">
        <f t="shared" si="4"/>
        <v>-128.78454444444444</v>
      </c>
      <c r="H8" s="3" t="str">
        <f t="shared" si="5"/>
        <v>[194] = {["comment"] = "33-51-59.9700N 128-47-04.3600W", ["callsignStr"] = "ADUMM", ["latitude"] = 33.8666583333333, ["longitude"] = -128.784544444444 },</v>
      </c>
    </row>
    <row r="9" spans="1:8" ht="29.4" hidden="1" thickBot="1" x14ac:dyDescent="0.35">
      <c r="A9" s="4" t="s">
        <v>408</v>
      </c>
      <c r="B9" s="4" t="s">
        <v>394</v>
      </c>
      <c r="C9" s="4" t="s">
        <v>409</v>
      </c>
      <c r="D9" t="str">
        <f t="shared" si="1"/>
        <v>25-18-00.0000N</v>
      </c>
      <c r="E9" t="str">
        <f t="shared" si="2"/>
        <v>132-09-42.0000W</v>
      </c>
      <c r="F9">
        <f t="shared" si="3"/>
        <v>25.3</v>
      </c>
      <c r="G9">
        <f t="shared" si="4"/>
        <v>-132.16166666666666</v>
      </c>
      <c r="H9" s="3" t="str">
        <f t="shared" si="5"/>
        <v>[195] = {["comment"] = "25-18-00.0000N 132-09-42.0000W", ["callsignStr"] = "AFONE", ["latitude"] = 25.3, ["longitude"] = -132.161666666667 },</v>
      </c>
    </row>
    <row r="10" spans="1:8" ht="29.4" hidden="1" thickBot="1" x14ac:dyDescent="0.35">
      <c r="A10" s="4" t="s">
        <v>410</v>
      </c>
      <c r="B10" s="4" t="s">
        <v>394</v>
      </c>
      <c r="C10" s="4" t="s">
        <v>411</v>
      </c>
      <c r="D10" t="str">
        <f t="shared" si="1"/>
        <v>08-45-08.0000N</v>
      </c>
      <c r="E10" t="str">
        <f t="shared" si="2"/>
        <v>132-27-35.0000E</v>
      </c>
      <c r="F10">
        <f t="shared" si="3"/>
        <v>8.7522222222222226</v>
      </c>
      <c r="G10">
        <f t="shared" si="4"/>
        <v>132.45972222222221</v>
      </c>
      <c r="H10" s="3" t="str">
        <f t="shared" si="5"/>
        <v>[196] = {["comment"] = "08-45-08.0000N 132-27-35.0000E", ["callsignStr"] = "AGIRE", ["latitude"] = 8.75222222222222, ["longitude"] = 132.459722222222 },</v>
      </c>
    </row>
    <row r="11" spans="1:8" ht="15" hidden="1" thickBot="1" x14ac:dyDescent="0.35">
      <c r="A11" s="4" t="s">
        <v>412</v>
      </c>
      <c r="B11" s="4" t="s">
        <v>394</v>
      </c>
      <c r="C11" s="4" t="s">
        <v>413</v>
      </c>
      <c r="D11" t="str">
        <f t="shared" si="1"/>
        <v>77-00-00.0000N</v>
      </c>
      <c r="E11" t="str">
        <f t="shared" si="2"/>
        <v>141-00-00.0000W</v>
      </c>
      <c r="F11">
        <f t="shared" si="3"/>
        <v>77</v>
      </c>
      <c r="G11">
        <f t="shared" si="4"/>
        <v>-141</v>
      </c>
      <c r="H11" s="3" t="str">
        <f t="shared" si="5"/>
        <v>[197] = {["comment"] = "77-00-00.0000N 141-00-00.0000W", ["callsignStr"] = "AGMIF", ["latitude"] = 77, ["longitude"] = -141 },</v>
      </c>
    </row>
    <row r="12" spans="1:8" ht="29.4" hidden="1" thickBot="1" x14ac:dyDescent="0.35">
      <c r="A12" s="4" t="s">
        <v>414</v>
      </c>
      <c r="B12" s="4" t="s">
        <v>394</v>
      </c>
      <c r="C12" s="4" t="s">
        <v>415</v>
      </c>
      <c r="D12" t="str">
        <f t="shared" si="1"/>
        <v>24-25-42.0000N</v>
      </c>
      <c r="E12" t="str">
        <f t="shared" si="2"/>
        <v>131-24-42.0000W</v>
      </c>
      <c r="F12">
        <f t="shared" si="3"/>
        <v>24.428333333333335</v>
      </c>
      <c r="G12">
        <f t="shared" si="4"/>
        <v>-131.41166666666666</v>
      </c>
      <c r="H12" s="3" t="str">
        <f t="shared" si="5"/>
        <v>[198] = {["comment"] = "24-25-42.0000N 131-24-42.0000W", ["callsignStr"] = "AHNDO", ["latitude"] = 24.4283333333333, ["longitude"] = -131.411666666667 },</v>
      </c>
    </row>
    <row r="13" spans="1:8" ht="29.4" hidden="1" thickBot="1" x14ac:dyDescent="0.35">
      <c r="A13" s="4" t="s">
        <v>416</v>
      </c>
      <c r="B13" s="4" t="s">
        <v>394</v>
      </c>
      <c r="C13" s="4" t="s">
        <v>417</v>
      </c>
      <c r="D13" t="str">
        <f t="shared" si="1"/>
        <v>07-20-50.0000N</v>
      </c>
      <c r="E13" t="str">
        <f t="shared" si="2"/>
        <v>133-23-30.0000E</v>
      </c>
      <c r="F13">
        <f t="shared" si="3"/>
        <v>7.3472222222222223</v>
      </c>
      <c r="G13">
        <f t="shared" si="4"/>
        <v>133.39166666666665</v>
      </c>
      <c r="H13" s="3" t="str">
        <f t="shared" si="5"/>
        <v>[199] = {["comment"] = "07-20-50.0000N 133-23-30.0000E", ["callsignStr"] = "AIBIE", ["latitude"] = 7.34722222222222, ["longitude"] = 133.391666666667 },</v>
      </c>
    </row>
    <row r="14" spans="1:8" ht="29.4" hidden="1" thickBot="1" x14ac:dyDescent="0.35">
      <c r="A14" s="4" t="s">
        <v>418</v>
      </c>
      <c r="B14" s="4" t="s">
        <v>394</v>
      </c>
      <c r="C14" s="4" t="s">
        <v>419</v>
      </c>
      <c r="D14" t="str">
        <f t="shared" si="1"/>
        <v>20-07-00.0000N</v>
      </c>
      <c r="E14" t="str">
        <f t="shared" si="2"/>
        <v>163-18-00.0000W</v>
      </c>
      <c r="F14">
        <f t="shared" si="3"/>
        <v>20.116666666666667</v>
      </c>
      <c r="G14">
        <f t="shared" si="4"/>
        <v>-163.30000000000001</v>
      </c>
      <c r="H14" s="3" t="str">
        <f t="shared" si="5"/>
        <v>[200] = {["comment"] = "20-07-00.0000N 163-18-00.0000W", ["callsignStr"] = "AJINK", ["latitude"] = 20.1166666666667, ["longitude"] = -163.3 },</v>
      </c>
    </row>
    <row r="15" spans="1:8" ht="29.4" hidden="1" thickBot="1" x14ac:dyDescent="0.35">
      <c r="A15" s="4" t="s">
        <v>420</v>
      </c>
      <c r="B15" s="4" t="s">
        <v>394</v>
      </c>
      <c r="C15" s="4" t="s">
        <v>421</v>
      </c>
      <c r="D15" t="str">
        <f t="shared" si="1"/>
        <v>47-33-02.6100N</v>
      </c>
      <c r="E15" t="str">
        <f t="shared" si="2"/>
        <v>161-20-00.0000E</v>
      </c>
      <c r="F15">
        <f t="shared" si="3"/>
        <v>47.550725</v>
      </c>
      <c r="G15">
        <f t="shared" si="4"/>
        <v>161.33333333333334</v>
      </c>
      <c r="H15" s="3" t="str">
        <f t="shared" si="5"/>
        <v>[201] = {["comment"] = "47-33-02.6100N 161-20-00.0000E", ["callsignStr"] = "AKISU", ["latitude"] = 47.550725, ["longitude"] = 161.333333333333 },</v>
      </c>
    </row>
    <row r="16" spans="1:8" ht="29.4" hidden="1" thickBot="1" x14ac:dyDescent="0.35">
      <c r="A16" s="4" t="s">
        <v>422</v>
      </c>
      <c r="B16" s="4" t="s">
        <v>394</v>
      </c>
      <c r="C16" s="4" t="s">
        <v>423</v>
      </c>
      <c r="D16" t="str">
        <f t="shared" si="1"/>
        <v>35-35-48.0000N</v>
      </c>
      <c r="E16" t="str">
        <f t="shared" si="2"/>
        <v>125-56-24.0000W</v>
      </c>
      <c r="F16">
        <f t="shared" si="3"/>
        <v>35.596666666666671</v>
      </c>
      <c r="G16">
        <f t="shared" si="4"/>
        <v>-125.94</v>
      </c>
      <c r="H16" s="3" t="str">
        <f t="shared" si="5"/>
        <v>[202] = {["comment"] = "35-35-48.0000N 125-56-24.0000W", ["callsignStr"] = "ALANN", ["latitude"] = 35.5966666666667, ["longitude"] = -125.94 },</v>
      </c>
    </row>
    <row r="17" spans="1:8" ht="29.4" hidden="1" thickBot="1" x14ac:dyDescent="0.35">
      <c r="A17" s="4" t="s">
        <v>424</v>
      </c>
      <c r="B17" s="4" t="s">
        <v>394</v>
      </c>
      <c r="C17" s="4" t="s">
        <v>425</v>
      </c>
      <c r="D17" t="str">
        <f t="shared" si="1"/>
        <v>37-49-59.7100N</v>
      </c>
      <c r="E17" t="str">
        <f t="shared" si="2"/>
        <v>125-50-04.2900W</v>
      </c>
      <c r="F17">
        <f t="shared" si="3"/>
        <v>37.83325277777778</v>
      </c>
      <c r="G17">
        <f t="shared" si="4"/>
        <v>-125.834525</v>
      </c>
      <c r="H17" s="3" t="str">
        <f t="shared" si="5"/>
        <v>[203] = {["comment"] = "OAK*D*256.25/171.87 ENI*C*223.59/141.10 37-49-59.7100N 125-50-04.2900W", ["callsignStr"] = "ALCOA", ["latitude"] = 37.8332527777778, ["longitude"] = -125.834525 },</v>
      </c>
    </row>
    <row r="18" spans="1:8" ht="29.4" hidden="1" thickBot="1" x14ac:dyDescent="0.35">
      <c r="A18" s="4" t="s">
        <v>426</v>
      </c>
      <c r="B18" s="4" t="s">
        <v>394</v>
      </c>
      <c r="C18" s="4" t="s">
        <v>427</v>
      </c>
      <c r="D18" t="str">
        <f t="shared" si="1"/>
        <v>37-30-23.0000N</v>
      </c>
      <c r="E18" t="str">
        <f t="shared" si="2"/>
        <v>127-00-00.0000W</v>
      </c>
      <c r="F18">
        <f t="shared" si="3"/>
        <v>37.506388888888885</v>
      </c>
      <c r="G18">
        <f t="shared" si="4"/>
        <v>-127</v>
      </c>
      <c r="H18" s="3" t="str">
        <f t="shared" si="5"/>
        <v>[204] = {["comment"] = "37-30-23.0000N 127-00-00.0000W", ["callsignStr"] = "ALLBE", ["latitude"] = 37.5063888888889, ["longitude"] = -127 },</v>
      </c>
    </row>
    <row r="19" spans="1:8" ht="29.4" hidden="1" thickBot="1" x14ac:dyDescent="0.35">
      <c r="A19" s="4" t="s">
        <v>428</v>
      </c>
      <c r="B19" s="4" t="s">
        <v>394</v>
      </c>
      <c r="C19" s="4" t="s">
        <v>429</v>
      </c>
      <c r="D19" t="str">
        <f t="shared" si="1"/>
        <v>22-01-43.3600N</v>
      </c>
      <c r="E19" t="str">
        <f t="shared" si="2"/>
        <v>157-51-43.4500W</v>
      </c>
      <c r="F19">
        <f t="shared" si="3"/>
        <v>22.028711111111111</v>
      </c>
      <c r="G19">
        <f t="shared" si="4"/>
        <v>-157.86206944444444</v>
      </c>
      <c r="H19" s="3" t="str">
        <f t="shared" si="5"/>
        <v>[205] = {["comment"] = "NGF*T*340.00/35.00 22-01-43.3600N 157-51-43.4500W", ["callsignStr"] = "ALLUN", ["latitude"] = 22.0287111111111, ["longitude"] = -157.862069444444 },</v>
      </c>
    </row>
    <row r="20" spans="1:8" ht="29.4" hidden="1" thickBot="1" x14ac:dyDescent="0.35">
      <c r="A20" s="4" t="s">
        <v>430</v>
      </c>
      <c r="B20" s="4" t="s">
        <v>394</v>
      </c>
      <c r="C20" s="4" t="s">
        <v>431</v>
      </c>
      <c r="D20" t="str">
        <f t="shared" si="1"/>
        <v>23-08-01.0000N</v>
      </c>
      <c r="E20" t="str">
        <f t="shared" si="2"/>
        <v>157-05-00.0000W</v>
      </c>
      <c r="F20">
        <f t="shared" si="3"/>
        <v>23.133611111111112</v>
      </c>
      <c r="G20">
        <f t="shared" si="4"/>
        <v>-157.08333333333334</v>
      </c>
      <c r="H20" s="3" t="str">
        <f t="shared" si="5"/>
        <v>[206] = {["comment"] = "23-08-01.0000N 157-05-00.0000W", ["callsignStr"] = "ALOCA", ["latitude"] = 23.1336111111111, ["longitude"] = -157.083333333333 },</v>
      </c>
    </row>
    <row r="21" spans="1:8" ht="29.4" hidden="1" thickBot="1" x14ac:dyDescent="0.35">
      <c r="A21" s="4" t="s">
        <v>432</v>
      </c>
      <c r="B21" s="4" t="s">
        <v>394</v>
      </c>
      <c r="C21" s="4" t="s">
        <v>433</v>
      </c>
      <c r="D21" t="str">
        <f t="shared" si="1"/>
        <v>23-15-37.0000N</v>
      </c>
      <c r="E21" t="str">
        <f t="shared" si="2"/>
        <v>130-09-52.0000W</v>
      </c>
      <c r="F21">
        <f t="shared" si="3"/>
        <v>23.260277777777777</v>
      </c>
      <c r="G21">
        <f t="shared" si="4"/>
        <v>-130.16444444444446</v>
      </c>
      <c r="H21" s="3" t="str">
        <f t="shared" si="5"/>
        <v>[207] = {["comment"] = "23-15-37.0000N 130-09-52.0000W", ["callsignStr"] = "AMATT", ["latitude"] = 23.2602777777778, ["longitude"] = -130.164444444444 },</v>
      </c>
    </row>
    <row r="22" spans="1:8" ht="15" hidden="1" thickBot="1" x14ac:dyDescent="0.35">
      <c r="A22" s="4" t="s">
        <v>434</v>
      </c>
      <c r="B22" s="4" t="s">
        <v>394</v>
      </c>
      <c r="C22" s="4" t="s">
        <v>435</v>
      </c>
      <c r="D22" t="str">
        <f t="shared" si="1"/>
        <v>05-00-00.0000N</v>
      </c>
      <c r="E22" t="str">
        <f t="shared" si="2"/>
        <v>145-25-48.0000W</v>
      </c>
      <c r="F22">
        <f t="shared" si="3"/>
        <v>5</v>
      </c>
      <c r="G22">
        <f t="shared" si="4"/>
        <v>-145.42999999999998</v>
      </c>
      <c r="H22" s="3" t="str">
        <f t="shared" si="5"/>
        <v>[208] = {["comment"] = "05-00-00.0000N 145-25-48.0000W", ["callsignStr"] = "ANJJE", ["latitude"] = 5, ["longitude"] = -145.43 },</v>
      </c>
    </row>
    <row r="23" spans="1:8" ht="29.4" hidden="1" thickBot="1" x14ac:dyDescent="0.35">
      <c r="A23" s="4" t="s">
        <v>436</v>
      </c>
      <c r="B23" s="4" t="s">
        <v>394</v>
      </c>
      <c r="C23" s="4" t="s">
        <v>437</v>
      </c>
      <c r="D23" t="str">
        <f t="shared" si="1"/>
        <v>24-02-37.3300N</v>
      </c>
      <c r="E23" t="str">
        <f t="shared" si="2"/>
        <v>156-19-10.3500W</v>
      </c>
      <c r="F23">
        <f t="shared" si="3"/>
        <v>24.043702777777778</v>
      </c>
      <c r="G23">
        <f t="shared" si="4"/>
        <v>-156.31954166666665</v>
      </c>
      <c r="H23" s="3" t="str">
        <f t="shared" si="5"/>
        <v>[209] = {["comment"] = "MKK*C*004.00/180.00 24-02-37.3300N 156-19-10.3500W", ["callsignStr"] = "APACK", ["latitude"] = 24.0437027777778, ["longitude"] = -156.319541666667 },</v>
      </c>
    </row>
    <row r="24" spans="1:8" ht="29.4" hidden="1" thickBot="1" x14ac:dyDescent="0.35">
      <c r="A24" s="4" t="s">
        <v>438</v>
      </c>
      <c r="B24" s="4" t="s">
        <v>394</v>
      </c>
      <c r="C24" s="4" t="s">
        <v>439</v>
      </c>
      <c r="D24" t="str">
        <f t="shared" si="1"/>
        <v>21-49-46.0000N</v>
      </c>
      <c r="E24" t="str">
        <f t="shared" si="2"/>
        <v>128-01-19.0000W</v>
      </c>
      <c r="F24">
        <f t="shared" si="3"/>
        <v>21.829444444444444</v>
      </c>
      <c r="G24">
        <f t="shared" si="4"/>
        <v>-128.02194444444447</v>
      </c>
      <c r="H24" s="3" t="str">
        <f t="shared" si="5"/>
        <v>[210] = {["comment"] = "21-49-46.0000N 128-01-19.0000W", ["callsignStr"] = "APIDD", ["latitude"] = 21.8294444444444, ["longitude"] = -128.021944444444 },</v>
      </c>
    </row>
    <row r="25" spans="1:8" ht="29.4" hidden="1" thickBot="1" x14ac:dyDescent="0.35">
      <c r="A25" s="4" t="s">
        <v>440</v>
      </c>
      <c r="B25" s="4" t="s">
        <v>394</v>
      </c>
      <c r="C25" s="4" t="s">
        <v>441</v>
      </c>
      <c r="D25" t="str">
        <f t="shared" si="1"/>
        <v>22-36-15.0000N</v>
      </c>
      <c r="E25" t="str">
        <f t="shared" si="2"/>
        <v>129-17-20.0000W</v>
      </c>
      <c r="F25">
        <f t="shared" si="3"/>
        <v>22.604166666666668</v>
      </c>
      <c r="G25">
        <f t="shared" si="4"/>
        <v>-129.28888888888889</v>
      </c>
      <c r="H25" s="3" t="str">
        <f t="shared" si="5"/>
        <v>[211] = {["comment"] = "22-36-15.0000N 129-17-20.0000W", ["callsignStr"] = "ARENS", ["latitude"] = 22.6041666666667, ["longitude"] = -129.288888888889 },</v>
      </c>
    </row>
    <row r="26" spans="1:8" ht="29.4" hidden="1" thickBot="1" x14ac:dyDescent="0.35">
      <c r="A26" s="4" t="s">
        <v>442</v>
      </c>
      <c r="B26" s="4" t="s">
        <v>394</v>
      </c>
      <c r="C26" s="4" t="s">
        <v>443</v>
      </c>
      <c r="D26" t="str">
        <f t="shared" si="1"/>
        <v>00-52-41.0000S</v>
      </c>
      <c r="E26" t="str">
        <f t="shared" si="2"/>
        <v>180-00-00.0000E</v>
      </c>
      <c r="F26">
        <f t="shared" si="3"/>
        <v>0.87805555555555559</v>
      </c>
      <c r="G26">
        <f t="shared" si="4"/>
        <v>180</v>
      </c>
      <c r="H26" s="3" t="str">
        <f t="shared" si="5"/>
        <v>[212] = {["comment"] = "00-52-41.0000S 180-00-00.0000E", ["callsignStr"] = "ARTOP", ["latitude"] = 0.878055555555556, ["longitude"] = 180 },</v>
      </c>
    </row>
    <row r="27" spans="1:8" ht="29.4" hidden="1" thickBot="1" x14ac:dyDescent="0.35">
      <c r="A27" s="4" t="s">
        <v>444</v>
      </c>
      <c r="B27" s="4" t="s">
        <v>394</v>
      </c>
      <c r="C27" s="4" t="s">
        <v>445</v>
      </c>
      <c r="D27" t="str">
        <f t="shared" si="1"/>
        <v>08-12-51.0000N</v>
      </c>
      <c r="E27" t="str">
        <f t="shared" si="2"/>
        <v>133-45-30.0000E</v>
      </c>
      <c r="F27">
        <f t="shared" si="3"/>
        <v>8.2141666666666655</v>
      </c>
      <c r="G27">
        <f t="shared" si="4"/>
        <v>133.75833333333333</v>
      </c>
      <c r="H27" s="3" t="str">
        <f t="shared" si="5"/>
        <v>[213] = {["comment"] = "08-12-51.0000N 133-45-30.0000E", ["callsignStr"] = "ARUYU", ["latitude"] = 8.21416666666667, ["longitude"] = 133.758333333333 },</v>
      </c>
    </row>
    <row r="28" spans="1:8" ht="29.4" hidden="1" thickBot="1" x14ac:dyDescent="0.35">
      <c r="A28" s="4" t="s">
        <v>446</v>
      </c>
      <c r="B28" s="4" t="s">
        <v>394</v>
      </c>
      <c r="C28" s="4" t="s">
        <v>447</v>
      </c>
      <c r="D28" t="str">
        <f t="shared" si="1"/>
        <v>08-53-30.0000N</v>
      </c>
      <c r="E28" t="str">
        <f t="shared" si="2"/>
        <v>170-39-23.0000W</v>
      </c>
      <c r="F28">
        <f t="shared" si="3"/>
        <v>8.8916666666666657</v>
      </c>
      <c r="G28">
        <f t="shared" si="4"/>
        <v>-170.6563888888889</v>
      </c>
      <c r="H28" s="3" t="str">
        <f t="shared" si="5"/>
        <v>[214] = {["comment"] = "08-53-30.0000N 170-39-23.0000W", ["callsignStr"] = "ARVII", ["latitude"] = 8.89166666666667, ["longitude"] = -170.656388888889 },</v>
      </c>
    </row>
    <row r="29" spans="1:8" ht="29.4" hidden="1" thickBot="1" x14ac:dyDescent="0.35">
      <c r="A29" s="4" t="s">
        <v>448</v>
      </c>
      <c r="B29" s="4" t="s">
        <v>394</v>
      </c>
      <c r="C29" s="4" t="s">
        <v>449</v>
      </c>
      <c r="D29" t="str">
        <f t="shared" si="1"/>
        <v>21-00-00.0000N</v>
      </c>
      <c r="E29" t="str">
        <f t="shared" si="2"/>
        <v>150-19-00.0000E</v>
      </c>
      <c r="F29">
        <f t="shared" si="3"/>
        <v>21</v>
      </c>
      <c r="G29">
        <f t="shared" si="4"/>
        <v>150.31666666666666</v>
      </c>
      <c r="H29" s="3" t="str">
        <f t="shared" si="5"/>
        <v>[215] = {["comment"] = "21-00-00.0000N 150-19-00.0000E", ["callsignStr"] = "ATIGO", ["latitude"] = 21, ["longitude"] = 150.316666666667 },</v>
      </c>
    </row>
    <row r="30" spans="1:8" ht="29.4" hidden="1" thickBot="1" x14ac:dyDescent="0.35">
      <c r="A30" s="4" t="s">
        <v>450</v>
      </c>
      <c r="B30" s="4" t="s">
        <v>394</v>
      </c>
      <c r="C30" s="4" t="s">
        <v>451</v>
      </c>
      <c r="D30" t="str">
        <f t="shared" si="1"/>
        <v>34-14-56.3100N</v>
      </c>
      <c r="E30" t="str">
        <f t="shared" si="2"/>
        <v>123-05-24.9600W</v>
      </c>
      <c r="F30">
        <f t="shared" si="3"/>
        <v>34.248975000000002</v>
      </c>
      <c r="G30">
        <f t="shared" si="4"/>
        <v>-123.09026666666666</v>
      </c>
      <c r="H30" s="3" t="str">
        <f t="shared" si="5"/>
        <v>[216] = {["comment"] = "34-14-56.3100N 123-05-24.9600W", ["callsignStr"] = "AUDIA", ["latitude"] = 34.248975, ["longitude"] = -123.090266666667 },</v>
      </c>
    </row>
    <row r="31" spans="1:8" ht="29.4" hidden="1" thickBot="1" x14ac:dyDescent="0.35">
      <c r="A31" s="4" t="s">
        <v>452</v>
      </c>
      <c r="B31" s="4" t="s">
        <v>394</v>
      </c>
      <c r="C31" s="4" t="s">
        <v>453</v>
      </c>
      <c r="D31" t="str">
        <f t="shared" si="1"/>
        <v>24-43-17.0000N</v>
      </c>
      <c r="E31" t="str">
        <f t="shared" si="2"/>
        <v>155-15-47.0000W</v>
      </c>
      <c r="F31">
        <f t="shared" si="3"/>
        <v>24.721388888888889</v>
      </c>
      <c r="G31">
        <f t="shared" si="4"/>
        <v>-155.26305555555555</v>
      </c>
      <c r="H31" s="3" t="str">
        <f t="shared" si="5"/>
        <v>[217] = {["comment"] = "24-43-17.0000N 155-15-47.0000W", ["callsignStr"] = "AUNTI", ["latitude"] = 24.7213888888889, ["longitude"] = -155.263055555556 },</v>
      </c>
    </row>
    <row r="32" spans="1:8" ht="29.4" hidden="1" thickBot="1" x14ac:dyDescent="0.35">
      <c r="A32" s="4" t="s">
        <v>454</v>
      </c>
      <c r="B32" s="4" t="s">
        <v>394</v>
      </c>
      <c r="C32" s="4" t="s">
        <v>455</v>
      </c>
      <c r="D32" t="str">
        <f t="shared" si="1"/>
        <v>31-59-06.0000N</v>
      </c>
      <c r="E32" t="str">
        <f t="shared" si="2"/>
        <v>141-55-24.0000W</v>
      </c>
      <c r="F32">
        <f t="shared" si="3"/>
        <v>31.984999999999999</v>
      </c>
      <c r="G32">
        <f t="shared" si="4"/>
        <v>-141.92333333333332</v>
      </c>
      <c r="H32" s="3" t="str">
        <f t="shared" si="5"/>
        <v>[218] = {["comment"] = "31-59-06.0000N 141-55-24.0000W", ["callsignStr"] = "AXELE", ["latitude"] = 31.985, ["longitude"] = -141.923333333333 },</v>
      </c>
    </row>
    <row r="33" spans="1:8" ht="29.4" thickBot="1" x14ac:dyDescent="0.35">
      <c r="A33" s="4" t="s">
        <v>456</v>
      </c>
      <c r="B33" s="4" t="s">
        <v>394</v>
      </c>
      <c r="C33" s="4" t="s">
        <v>457</v>
      </c>
      <c r="D33" t="str">
        <f t="shared" si="1"/>
        <v>12-31-14.0000N</v>
      </c>
      <c r="E33" t="str">
        <f t="shared" si="2"/>
        <v>146-59-47.0000E</v>
      </c>
      <c r="F33">
        <f t="shared" si="3"/>
        <v>12.520555555555557</v>
      </c>
      <c r="G33">
        <f t="shared" si="4"/>
        <v>146.99638888888887</v>
      </c>
      <c r="H33" s="3" t="str">
        <f t="shared" si="5"/>
        <v>[219] = {["comment"] = "12-31-14.0000N 146-59-47.0000E", ["callsignStr"] = "AXIDE", ["latitude"] = 12.5205555555556, ["longitude"] = 146.996388888889 },</v>
      </c>
    </row>
    <row r="34" spans="1:8" ht="29.4" hidden="1" thickBot="1" x14ac:dyDescent="0.35">
      <c r="A34" s="4" t="s">
        <v>458</v>
      </c>
      <c r="B34" s="4" t="s">
        <v>394</v>
      </c>
      <c r="C34" s="4" t="s">
        <v>459</v>
      </c>
      <c r="D34" t="str">
        <f t="shared" si="1"/>
        <v>36-27-43.0000N</v>
      </c>
      <c r="E34" t="str">
        <f t="shared" si="2"/>
        <v>126-56-00.0000W</v>
      </c>
      <c r="F34">
        <f t="shared" si="3"/>
        <v>36.461944444444448</v>
      </c>
      <c r="G34">
        <f t="shared" si="4"/>
        <v>-126.93333333333334</v>
      </c>
      <c r="H34" s="3" t="str">
        <f t="shared" si="5"/>
        <v>[220] = {["comment"] = "36-27-43.0000N 126-56-00.0000W", ["callsignStr"] = "BAART", ["latitude"] = 36.4619444444444, ["longitude"] = -126.933333333333 },</v>
      </c>
    </row>
    <row r="35" spans="1:8" ht="29.4" hidden="1" thickBot="1" x14ac:dyDescent="0.35">
      <c r="A35" s="4" t="s">
        <v>460</v>
      </c>
      <c r="B35" s="4" t="s">
        <v>394</v>
      </c>
      <c r="C35" s="4" t="s">
        <v>461</v>
      </c>
      <c r="D35" t="str">
        <f t="shared" si="1"/>
        <v>59-00-00.0000N</v>
      </c>
      <c r="E35" t="str">
        <f t="shared" si="2"/>
        <v>149-43-00.0000W</v>
      </c>
      <c r="F35">
        <f t="shared" si="3"/>
        <v>59</v>
      </c>
      <c r="G35">
        <f t="shared" si="4"/>
        <v>-149.71666666666667</v>
      </c>
      <c r="H35" s="3" t="str">
        <f t="shared" si="5"/>
        <v>[221] = {["comment"] = "59-00-00.0000N 149-43-00.0000W", ["callsignStr"] = "BAIGE", ["latitude"] = 59, ["longitude"] = -149.716666666667 },</v>
      </c>
    </row>
    <row r="36" spans="1:8" ht="29.4" hidden="1" thickBot="1" x14ac:dyDescent="0.35">
      <c r="A36" s="4" t="s">
        <v>462</v>
      </c>
      <c r="B36" s="4" t="s">
        <v>394</v>
      </c>
      <c r="C36" s="4" t="s">
        <v>463</v>
      </c>
      <c r="D36" t="str">
        <f t="shared" si="1"/>
        <v>07-55-43.0000N</v>
      </c>
      <c r="E36" t="str">
        <f t="shared" si="2"/>
        <v>135-33-54.0000E</v>
      </c>
      <c r="F36">
        <f t="shared" si="3"/>
        <v>7.9286111111111115</v>
      </c>
      <c r="G36">
        <f t="shared" si="4"/>
        <v>135.565</v>
      </c>
      <c r="H36" s="3" t="str">
        <f t="shared" si="5"/>
        <v>[222] = {["comment"] = "07-55-43.0000N 135-33-54.0000E", ["callsignStr"] = "BAKKA", ["latitude"] = 7.92861111111111, ["longitude"] = 135.565 },</v>
      </c>
    </row>
    <row r="37" spans="1:8" ht="29.4" hidden="1" thickBot="1" x14ac:dyDescent="0.35">
      <c r="A37" s="4" t="s">
        <v>464</v>
      </c>
      <c r="B37" s="4" t="s">
        <v>394</v>
      </c>
      <c r="C37" s="4" t="s">
        <v>465</v>
      </c>
      <c r="D37" t="str">
        <f t="shared" si="1"/>
        <v>20-13-42.0000N</v>
      </c>
      <c r="E37" t="str">
        <f t="shared" si="2"/>
        <v>139-21-13.0000W</v>
      </c>
      <c r="F37">
        <f t="shared" si="3"/>
        <v>20.228333333333332</v>
      </c>
      <c r="G37">
        <f t="shared" si="4"/>
        <v>-139.35361111111109</v>
      </c>
      <c r="H37" s="3" t="str">
        <f t="shared" si="5"/>
        <v>[223] = {["comment"] = "20-13-42.0000N 139-21-13.0000W", ["callsignStr"] = "BALKS", ["latitude"] = 20.2283333333333, ["longitude"] = -139.353611111111 },</v>
      </c>
    </row>
    <row r="38" spans="1:8" ht="29.4" hidden="1" thickBot="1" x14ac:dyDescent="0.35">
      <c r="A38" s="4" t="s">
        <v>466</v>
      </c>
      <c r="B38" s="4" t="s">
        <v>394</v>
      </c>
      <c r="C38" s="4" t="s">
        <v>467</v>
      </c>
      <c r="D38" t="str">
        <f t="shared" si="1"/>
        <v>21-24-59.5700N</v>
      </c>
      <c r="E38" t="str">
        <f t="shared" si="2"/>
        <v>157-30-36.0400W</v>
      </c>
      <c r="F38">
        <f t="shared" si="3"/>
        <v>21.416547222222221</v>
      </c>
      <c r="G38">
        <f t="shared" si="4"/>
        <v>-157.51001111111111</v>
      </c>
      <c r="H38" s="3" t="str">
        <f t="shared" si="5"/>
        <v>[224] = {["comment"] = "MKK*C*299.99/25.41 CKH*C*039.01/14.10 21-24-59.5700N 157-30-36.0400W", ["callsignStr"] = "BAMBO", ["latitude"] = 21.4165472222222, ["longitude"] = -157.510011111111 },</v>
      </c>
    </row>
    <row r="39" spans="1:8" ht="29.4" hidden="1" thickBot="1" x14ac:dyDescent="0.35">
      <c r="A39" s="4" t="s">
        <v>468</v>
      </c>
      <c r="B39" s="4" t="s">
        <v>394</v>
      </c>
      <c r="C39" s="4" t="s">
        <v>469</v>
      </c>
      <c r="D39" t="str">
        <f t="shared" si="1"/>
        <v>56-25-29.9600N</v>
      </c>
      <c r="E39" t="str">
        <f t="shared" si="2"/>
        <v>172-49-18.0300E</v>
      </c>
      <c r="F39">
        <f t="shared" si="3"/>
        <v>56.424988888888883</v>
      </c>
      <c r="G39">
        <f t="shared" si="4"/>
        <v>172.821675</v>
      </c>
      <c r="H39" s="3" t="str">
        <f t="shared" si="5"/>
        <v>[225] = {["comment"] = "56-25-29.9600N 172-49-18.0300E", ["callsignStr"] = "BAMOK", ["latitude"] = 56.4249888888889, ["longitude"] = 172.821675 },</v>
      </c>
    </row>
    <row r="40" spans="1:8" ht="29.4" hidden="1" thickBot="1" x14ac:dyDescent="0.35">
      <c r="A40" s="4" t="s">
        <v>470</v>
      </c>
      <c r="B40" s="4" t="s">
        <v>394</v>
      </c>
      <c r="C40" s="4" t="s">
        <v>471</v>
      </c>
      <c r="D40" t="str">
        <f t="shared" si="1"/>
        <v>34-01-23.0000N</v>
      </c>
      <c r="E40" t="str">
        <f t="shared" si="2"/>
        <v>134-20-46.0000W</v>
      </c>
      <c r="F40">
        <f t="shared" si="3"/>
        <v>34.023055555555551</v>
      </c>
      <c r="G40">
        <f t="shared" si="4"/>
        <v>-134.34611111111113</v>
      </c>
      <c r="H40" s="3" t="str">
        <f t="shared" si="5"/>
        <v>[226] = {["comment"] = "34-01-23.0000N 134-20-46.0000W", ["callsignStr"] = "BARAZ", ["latitude"] = 34.0230555555556, ["longitude"] = -134.346111111111 },</v>
      </c>
    </row>
    <row r="41" spans="1:8" ht="29.4" hidden="1" thickBot="1" x14ac:dyDescent="0.35">
      <c r="A41" s="4" t="s">
        <v>472</v>
      </c>
      <c r="B41" s="4" t="s">
        <v>394</v>
      </c>
      <c r="C41" s="4" t="s">
        <v>473</v>
      </c>
      <c r="D41" t="str">
        <f t="shared" si="1"/>
        <v>18-24-28.0000N</v>
      </c>
      <c r="E41" t="str">
        <f t="shared" si="2"/>
        <v>160-48-51.0000W</v>
      </c>
      <c r="F41">
        <f t="shared" si="3"/>
        <v>18.407777777777778</v>
      </c>
      <c r="G41">
        <f t="shared" si="4"/>
        <v>-160.81416666666667</v>
      </c>
      <c r="H41" s="3" t="str">
        <f t="shared" si="5"/>
        <v>[227] = {["comment"] = "18-24-28.0000N 160-48-51.0000W", ["callsignStr"] = "BARKR", ["latitude"] = 18.4077777777778, ["longitude"] = -160.814166666667 },</v>
      </c>
    </row>
    <row r="42" spans="1:8" ht="29.4" hidden="1" thickBot="1" x14ac:dyDescent="0.35">
      <c r="A42" s="4" t="s">
        <v>474</v>
      </c>
      <c r="B42" s="4" t="s">
        <v>394</v>
      </c>
      <c r="C42" s="4" t="s">
        <v>475</v>
      </c>
      <c r="D42" t="str">
        <f t="shared" si="1"/>
        <v>00-54-05.0000N</v>
      </c>
      <c r="E42" t="str">
        <f t="shared" si="2"/>
        <v>175-12-48.0000W</v>
      </c>
      <c r="F42">
        <f t="shared" si="3"/>
        <v>0.90138888888888891</v>
      </c>
      <c r="G42">
        <f t="shared" si="4"/>
        <v>-175.21333333333331</v>
      </c>
      <c r="H42" s="3" t="str">
        <f t="shared" si="5"/>
        <v>[228] = {["comment"] = "00-54-05.0000N 175-12-48.0000W", ["callsignStr"] = "BAYUS", ["latitude"] = 0.901388888888889, ["longitude"] = -175.213333333333 },</v>
      </c>
    </row>
    <row r="43" spans="1:8" ht="29.4" hidden="1" thickBot="1" x14ac:dyDescent="0.35">
      <c r="A43" s="4" t="s">
        <v>476</v>
      </c>
      <c r="B43" s="4" t="s">
        <v>394</v>
      </c>
      <c r="C43" s="4" t="s">
        <v>477</v>
      </c>
      <c r="D43" t="str">
        <f t="shared" si="1"/>
        <v>36-59-59.8000N</v>
      </c>
      <c r="E43" t="str">
        <f t="shared" si="2"/>
        <v>125-00-04.1800W</v>
      </c>
      <c r="F43">
        <f t="shared" si="3"/>
        <v>36.999944444444445</v>
      </c>
      <c r="G43">
        <f t="shared" si="4"/>
        <v>-125.00116111111112</v>
      </c>
      <c r="H43" s="3" t="str">
        <f t="shared" si="5"/>
        <v>[229] = {["comment"] = "SAU*D*230.35/129.06 36-59-59.8000N 125-00-04.1800W", ["callsignStr"] = "BEBOP", ["latitude"] = 36.9999444444444, ["longitude"] = -125.001161111111 },</v>
      </c>
    </row>
    <row r="44" spans="1:8" ht="29.4" hidden="1" thickBot="1" x14ac:dyDescent="0.35">
      <c r="A44" s="4" t="s">
        <v>478</v>
      </c>
      <c r="B44" s="4" t="s">
        <v>394</v>
      </c>
      <c r="C44" s="4" t="s">
        <v>479</v>
      </c>
      <c r="D44" t="str">
        <f t="shared" si="1"/>
        <v>22-44-41.0000N</v>
      </c>
      <c r="E44" t="str">
        <f t="shared" si="2"/>
        <v>156-40-42.0000W</v>
      </c>
      <c r="F44">
        <f t="shared" si="3"/>
        <v>22.744722222222222</v>
      </c>
      <c r="G44">
        <f t="shared" si="4"/>
        <v>-156.67833333333331</v>
      </c>
      <c r="H44" s="3" t="str">
        <f t="shared" si="5"/>
        <v>[230] = {["comment"] = "22-44-41.0000N 156-40-42.0000W", ["callsignStr"] = "BECAN", ["latitude"] = 22.7447222222222, ["longitude"] = -156.678333333333 },</v>
      </c>
    </row>
    <row r="45" spans="1:8" ht="29.4" hidden="1" thickBot="1" x14ac:dyDescent="0.35">
      <c r="A45" s="4" t="s">
        <v>480</v>
      </c>
      <c r="B45" s="4" t="s">
        <v>394</v>
      </c>
      <c r="C45" s="4" t="s">
        <v>481</v>
      </c>
      <c r="D45" t="str">
        <f t="shared" si="1"/>
        <v>22-24-28.0000N</v>
      </c>
      <c r="E45" t="str">
        <f t="shared" si="2"/>
        <v>153-11-26.0000E</v>
      </c>
      <c r="F45">
        <f t="shared" si="3"/>
        <v>22.407777777777778</v>
      </c>
      <c r="G45">
        <f t="shared" si="4"/>
        <v>153.19055555555556</v>
      </c>
      <c r="H45" s="3" t="str">
        <f t="shared" si="5"/>
        <v>[231] = {["comment"] = "22-24-28.0000N 153-11-26.0000E", ["callsignStr"] = "BEEBO", ["latitude"] = 22.4077777777778, ["longitude"] = 153.190555555556 },</v>
      </c>
    </row>
    <row r="46" spans="1:8" ht="29.4" hidden="1" thickBot="1" x14ac:dyDescent="0.35">
      <c r="A46" s="4" t="s">
        <v>482</v>
      </c>
      <c r="B46" s="4" t="s">
        <v>394</v>
      </c>
      <c r="C46" s="4" t="s">
        <v>483</v>
      </c>
      <c r="D46" t="str">
        <f t="shared" si="1"/>
        <v>33-46-35.1200N</v>
      </c>
      <c r="E46" t="str">
        <f t="shared" si="2"/>
        <v>120-05-25.1600W</v>
      </c>
      <c r="F46">
        <f t="shared" si="3"/>
        <v>33.776422222222223</v>
      </c>
      <c r="G46">
        <f t="shared" si="4"/>
        <v>-120.09032222222221</v>
      </c>
      <c r="H46" s="3" t="str">
        <f t="shared" si="5"/>
        <v>[232] = {["comment"] = "RZS*C*186.00 LAX*C*249.00/83.39 33-46-35.1200N 120-05-25.1600W", ["callsignStr"] = "BEFIN", ["latitude"] = 33.7764222222222, ["longitude"] = -120.090322222222 },</v>
      </c>
    </row>
    <row r="47" spans="1:8" ht="29.4" hidden="1" thickBot="1" x14ac:dyDescent="0.35">
      <c r="A47" s="4" t="s">
        <v>484</v>
      </c>
      <c r="B47" s="4" t="s">
        <v>394</v>
      </c>
      <c r="C47" s="4" t="s">
        <v>485</v>
      </c>
      <c r="D47" t="str">
        <f t="shared" si="1"/>
        <v>27-53-32.0000N</v>
      </c>
      <c r="E47" t="str">
        <f t="shared" si="2"/>
        <v>147-58-12.0000W</v>
      </c>
      <c r="F47">
        <f t="shared" si="3"/>
        <v>27.892222222222223</v>
      </c>
      <c r="G47">
        <f t="shared" si="4"/>
        <v>-147.97</v>
      </c>
      <c r="H47" s="3" t="str">
        <f t="shared" si="5"/>
        <v>[233] = {["comment"] = "27-53-32.0000N 147-58-12.0000W", ["callsignStr"] = "BEKME", ["latitude"] = 27.8922222222222, ["longitude"] = -147.97 },</v>
      </c>
    </row>
    <row r="48" spans="1:8" ht="29.4" hidden="1" thickBot="1" x14ac:dyDescent="0.35">
      <c r="A48" s="4" t="s">
        <v>486</v>
      </c>
      <c r="B48" s="4" t="s">
        <v>394</v>
      </c>
      <c r="C48" s="4" t="s">
        <v>487</v>
      </c>
      <c r="D48" t="str">
        <f t="shared" si="1"/>
        <v>18-48-27.0000N</v>
      </c>
      <c r="E48" t="str">
        <f t="shared" si="2"/>
        <v>138-03-06.0000W</v>
      </c>
      <c r="F48">
        <f t="shared" si="3"/>
        <v>18.807500000000001</v>
      </c>
      <c r="G48">
        <f t="shared" si="4"/>
        <v>-138.05166666666668</v>
      </c>
      <c r="H48" s="3" t="str">
        <f t="shared" si="5"/>
        <v>[234] = {["comment"] = "18-48-27.0000N 138-03-06.0000W", ["callsignStr"] = "BELAN", ["latitude"] = 18.8075, ["longitude"] = -138.051666666667 },</v>
      </c>
    </row>
    <row r="49" spans="1:8" ht="29.4" hidden="1" thickBot="1" x14ac:dyDescent="0.35">
      <c r="A49" s="4" t="s">
        <v>488</v>
      </c>
      <c r="B49" s="4" t="s">
        <v>394</v>
      </c>
      <c r="C49" s="4" t="s">
        <v>489</v>
      </c>
      <c r="D49" t="str">
        <f t="shared" si="1"/>
        <v>16-53-07.0000N</v>
      </c>
      <c r="E49" t="str">
        <f t="shared" si="2"/>
        <v>135-54-00.0000W</v>
      </c>
      <c r="F49">
        <f t="shared" si="3"/>
        <v>16.885277777777777</v>
      </c>
      <c r="G49">
        <f t="shared" si="4"/>
        <v>-135.9</v>
      </c>
      <c r="H49" s="3" t="str">
        <f t="shared" si="5"/>
        <v>[235] = {["comment"] = "16-53-07.0000N 135-54-00.0000W", ["callsignStr"] = "BENTS", ["latitude"] = 16.8852777777778, ["longitude"] = -135.9 },</v>
      </c>
    </row>
    <row r="50" spans="1:8" ht="29.4" hidden="1" thickBot="1" x14ac:dyDescent="0.35">
      <c r="A50" s="4" t="s">
        <v>490</v>
      </c>
      <c r="B50" s="4" t="s">
        <v>394</v>
      </c>
      <c r="C50" s="4" t="s">
        <v>491</v>
      </c>
      <c r="D50" t="str">
        <f t="shared" si="1"/>
        <v>59-45-00.0000N</v>
      </c>
      <c r="E50" t="str">
        <f t="shared" si="2"/>
        <v>179-25-06.0000E</v>
      </c>
      <c r="F50">
        <f t="shared" si="3"/>
        <v>59.75</v>
      </c>
      <c r="G50">
        <f t="shared" si="4"/>
        <v>179.41833333333332</v>
      </c>
      <c r="H50" s="3" t="str">
        <f t="shared" si="5"/>
        <v>[236] = {["comment"] = "59-45-00.0000N 179-25-06.0000E", ["callsignStr"] = "BESAT", ["latitude"] = 59.75, ["longitude"] = 179.418333333333 },</v>
      </c>
    </row>
    <row r="51" spans="1:8" ht="29.4" thickBot="1" x14ac:dyDescent="0.35">
      <c r="A51" s="4" t="s">
        <v>492</v>
      </c>
      <c r="B51" s="4" t="s">
        <v>394</v>
      </c>
      <c r="C51" s="4" t="s">
        <v>493</v>
      </c>
      <c r="D51" t="str">
        <f t="shared" si="1"/>
        <v>16-55-00.0000N</v>
      </c>
      <c r="E51" t="str">
        <f t="shared" si="2"/>
        <v>147-27-00.0000E</v>
      </c>
      <c r="F51">
        <f t="shared" si="3"/>
        <v>16.916666666666668</v>
      </c>
      <c r="G51">
        <f t="shared" si="4"/>
        <v>147.44999999999999</v>
      </c>
      <c r="H51" s="3" t="str">
        <f t="shared" si="5"/>
        <v>[237] = {["comment"] = "16-55-00.0000N 147-27-00.0000E", ["callsignStr"] = "BESSS", ["latitude"] = 16.9166666666667, ["longitude"] = 147.45 },</v>
      </c>
    </row>
    <row r="52" spans="1:8" ht="29.4" hidden="1" thickBot="1" x14ac:dyDescent="0.35">
      <c r="A52" s="4" t="s">
        <v>494</v>
      </c>
      <c r="B52" s="4" t="s">
        <v>394</v>
      </c>
      <c r="C52" s="4" t="s">
        <v>495</v>
      </c>
      <c r="D52" t="str">
        <f t="shared" si="1"/>
        <v>08-29-46.0000N</v>
      </c>
      <c r="E52" t="str">
        <f t="shared" si="2"/>
        <v>134-48-42.0000E</v>
      </c>
      <c r="F52">
        <f t="shared" si="3"/>
        <v>8.4961111111111105</v>
      </c>
      <c r="G52">
        <f t="shared" si="4"/>
        <v>134.81166666666667</v>
      </c>
      <c r="H52" s="3" t="str">
        <f t="shared" si="5"/>
        <v>[238] = {["comment"] = "08-29-46.0000N 134-48-42.0000E", ["callsignStr"] = "BESTS", ["latitude"] = 8.49611111111111, ["longitude"] = 134.811666666667 },</v>
      </c>
    </row>
    <row r="53" spans="1:8" ht="29.4" hidden="1" thickBot="1" x14ac:dyDescent="0.35">
      <c r="A53" s="4" t="s">
        <v>496</v>
      </c>
      <c r="B53" s="4" t="s">
        <v>394</v>
      </c>
      <c r="C53" s="4" t="s">
        <v>497</v>
      </c>
      <c r="D53" t="str">
        <f t="shared" si="1"/>
        <v>06-48-03.0000N</v>
      </c>
      <c r="E53" t="str">
        <f t="shared" si="2"/>
        <v>170-33-39.0000W</v>
      </c>
      <c r="F53">
        <f t="shared" si="3"/>
        <v>6.8008333333333333</v>
      </c>
      <c r="G53">
        <f t="shared" si="4"/>
        <v>-170.56083333333333</v>
      </c>
      <c r="H53" s="3" t="str">
        <f t="shared" si="5"/>
        <v>[239] = {["comment"] = "06-48-03.0000N 170-33-39.0000W", ["callsignStr"] = "BESTY", ["latitude"] = 6.80083333333333, ["longitude"] = -170.560833333333 },</v>
      </c>
    </row>
    <row r="54" spans="1:8" ht="29.4" hidden="1" thickBot="1" x14ac:dyDescent="0.35">
      <c r="A54" s="4" t="s">
        <v>498</v>
      </c>
      <c r="B54" s="4" t="s">
        <v>394</v>
      </c>
      <c r="C54" s="4" t="s">
        <v>499</v>
      </c>
      <c r="D54" t="str">
        <f t="shared" si="1"/>
        <v>14-32-04.0000N</v>
      </c>
      <c r="E54" t="str">
        <f t="shared" si="2"/>
        <v>132-18-41.0000W</v>
      </c>
      <c r="F54">
        <f t="shared" si="3"/>
        <v>14.534444444444444</v>
      </c>
      <c r="G54">
        <f t="shared" si="4"/>
        <v>-132.3113888888889</v>
      </c>
      <c r="H54" s="3" t="str">
        <f t="shared" si="5"/>
        <v>[240] = {["comment"] = "14-32-04.0000N 132-18-41.0000W", ["callsignStr"] = "BIGBY", ["latitude"] = 14.5344444444444, ["longitude"] = -132.311388888889 },</v>
      </c>
    </row>
    <row r="55" spans="1:8" ht="15" hidden="1" thickBot="1" x14ac:dyDescent="0.35">
      <c r="A55" s="4" t="s">
        <v>500</v>
      </c>
      <c r="B55" s="4" t="s">
        <v>394</v>
      </c>
      <c r="C55" s="4" t="s">
        <v>501</v>
      </c>
      <c r="D55" t="str">
        <f t="shared" si="1"/>
        <v>74-00-00.0000N</v>
      </c>
      <c r="E55" t="str">
        <f t="shared" si="2"/>
        <v>141-00-00.0000W</v>
      </c>
      <c r="F55">
        <f t="shared" si="3"/>
        <v>74</v>
      </c>
      <c r="G55">
        <f t="shared" si="4"/>
        <v>-141</v>
      </c>
      <c r="H55" s="3" t="str">
        <f t="shared" si="5"/>
        <v>[241] = {["comment"] = "74-00-00.0000N 141-00-00.0000W", ["callsignStr"] = "BIITE", ["latitude"] = 74, ["longitude"] = -141 },</v>
      </c>
    </row>
    <row r="56" spans="1:8" ht="29.4" hidden="1" thickBot="1" x14ac:dyDescent="0.35">
      <c r="A56" s="4" t="s">
        <v>502</v>
      </c>
      <c r="B56" s="4" t="s">
        <v>394</v>
      </c>
      <c r="C56" s="4" t="s">
        <v>503</v>
      </c>
      <c r="D56" t="str">
        <f t="shared" si="1"/>
        <v>22-43-48.0000N</v>
      </c>
      <c r="E56" t="str">
        <f t="shared" si="2"/>
        <v>155-42-03.0000W</v>
      </c>
      <c r="F56">
        <f t="shared" si="3"/>
        <v>22.729999999999997</v>
      </c>
      <c r="G56">
        <f t="shared" si="4"/>
        <v>-155.70083333333332</v>
      </c>
      <c r="H56" s="3" t="str">
        <f t="shared" si="5"/>
        <v>[242] = {["comment"] = "22-43-48.0000N 155-42-03.0000W", ["callsignStr"] = "BIKUZ", ["latitude"] = 22.73, ["longitude"] = -155.700833333333 },</v>
      </c>
    </row>
    <row r="57" spans="1:8" ht="29.4" hidden="1" thickBot="1" x14ac:dyDescent="0.35">
      <c r="A57" s="4" t="s">
        <v>504</v>
      </c>
      <c r="B57" s="4" t="s">
        <v>394</v>
      </c>
      <c r="C57" s="4" t="s">
        <v>505</v>
      </c>
      <c r="D57" t="str">
        <f t="shared" si="1"/>
        <v>31-10-42.0000N</v>
      </c>
      <c r="E57" t="str">
        <f t="shared" si="2"/>
        <v>141-17-24.0000W</v>
      </c>
      <c r="F57">
        <f t="shared" si="3"/>
        <v>31.178333333333335</v>
      </c>
      <c r="G57">
        <f t="shared" si="4"/>
        <v>-141.29</v>
      </c>
      <c r="H57" s="3" t="str">
        <f t="shared" si="5"/>
        <v>[243] = {["comment"] = "31-10-42.0000N 141-17-24.0000W", ["callsignStr"] = "BILLO", ["latitude"] = 31.1783333333333, ["longitude"] = -141.29 },</v>
      </c>
    </row>
    <row r="58" spans="1:8" ht="29.4" hidden="1" thickBot="1" x14ac:dyDescent="0.35">
      <c r="A58" s="4" t="s">
        <v>506</v>
      </c>
      <c r="B58" s="4" t="s">
        <v>394</v>
      </c>
      <c r="C58" s="4" t="s">
        <v>507</v>
      </c>
      <c r="D58" t="str">
        <f t="shared" si="1"/>
        <v>16-29-00.0000N</v>
      </c>
      <c r="E58" t="str">
        <f t="shared" si="2"/>
        <v>135-23-01.0000W</v>
      </c>
      <c r="F58">
        <f t="shared" si="3"/>
        <v>16.483333333333334</v>
      </c>
      <c r="G58">
        <f t="shared" si="4"/>
        <v>-135.38361111111109</v>
      </c>
      <c r="H58" s="3" t="str">
        <f t="shared" si="5"/>
        <v>[244] = {["comment"] = "16-29-00.0000N 135-23-01.0000W", ["callsignStr"] = "BINGE", ["latitude"] = 16.4833333333333, ["longitude"] = -135.383611111111 },</v>
      </c>
    </row>
    <row r="59" spans="1:8" ht="29.4" hidden="1" thickBot="1" x14ac:dyDescent="0.35">
      <c r="A59" s="4" t="s">
        <v>508</v>
      </c>
      <c r="B59" s="4" t="s">
        <v>394</v>
      </c>
      <c r="C59" s="4" t="s">
        <v>509</v>
      </c>
      <c r="D59" t="str">
        <f t="shared" si="1"/>
        <v>00-19-18.0000S</v>
      </c>
      <c r="E59" t="str">
        <f t="shared" si="2"/>
        <v>149-29-30.0000W</v>
      </c>
      <c r="F59">
        <f t="shared" si="3"/>
        <v>0.32166666666666666</v>
      </c>
      <c r="G59">
        <f t="shared" si="4"/>
        <v>-149.49166666666665</v>
      </c>
      <c r="H59" s="3" t="str">
        <f t="shared" si="5"/>
        <v>[245] = {["comment"] = "00-19-18.0000S 149-29-30.0000W", ["callsignStr"] = "BISOX", ["latitude"] = 0.321666666666667, ["longitude"] = -149.491666666667 },</v>
      </c>
    </row>
    <row r="60" spans="1:8" ht="29.4" hidden="1" thickBot="1" x14ac:dyDescent="0.35">
      <c r="A60" s="4" t="s">
        <v>510</v>
      </c>
      <c r="B60" s="4" t="s">
        <v>394</v>
      </c>
      <c r="C60" s="4" t="s">
        <v>511</v>
      </c>
      <c r="D60" t="str">
        <f t="shared" si="1"/>
        <v>09-26-16.0000N</v>
      </c>
      <c r="E60" t="str">
        <f t="shared" si="2"/>
        <v>135-28-52.0000E</v>
      </c>
      <c r="F60">
        <f t="shared" si="3"/>
        <v>9.4377777777777787</v>
      </c>
      <c r="G60">
        <f t="shared" si="4"/>
        <v>135.48111111111112</v>
      </c>
      <c r="H60" s="3" t="str">
        <f t="shared" si="5"/>
        <v>[246] = {["comment"] = "09-26-16.0000N 135-28-52.0000E", ["callsignStr"] = "BITGE", ["latitude"] = 9.43777777777778, ["longitude"] = 135.481111111111 },</v>
      </c>
    </row>
    <row r="61" spans="1:8" ht="29.4" hidden="1" thickBot="1" x14ac:dyDescent="0.35">
      <c r="A61" s="4" t="s">
        <v>512</v>
      </c>
      <c r="B61" s="4" t="s">
        <v>394</v>
      </c>
      <c r="C61" s="4" t="s">
        <v>513</v>
      </c>
      <c r="D61" t="str">
        <f t="shared" si="1"/>
        <v>23-31-40.9100N</v>
      </c>
      <c r="E61" t="str">
        <f t="shared" si="2"/>
        <v>155-28-43.8100W</v>
      </c>
      <c r="F61">
        <f t="shared" si="3"/>
        <v>23.528030555555553</v>
      </c>
      <c r="G61">
        <f t="shared" si="4"/>
        <v>-155.47883611111112</v>
      </c>
      <c r="H61" s="3" t="str">
        <f t="shared" si="5"/>
        <v>[247] = {["comment"] = "MKK*C*022.00/171.00 23-31-40.9100N 155-28-43.8100W", ["callsignStr"] = "BITTA", ["latitude"] = 23.5280305555556, ["longitude"] = -155.478836111111 },</v>
      </c>
    </row>
    <row r="62" spans="1:8" ht="29.4" hidden="1" thickBot="1" x14ac:dyDescent="0.35">
      <c r="A62" s="4" t="s">
        <v>514</v>
      </c>
      <c r="B62" s="4" t="s">
        <v>394</v>
      </c>
      <c r="C62" s="4" t="s">
        <v>515</v>
      </c>
      <c r="D62" t="str">
        <f t="shared" si="1"/>
        <v>24-17-45.0000N</v>
      </c>
      <c r="E62" t="str">
        <f t="shared" si="2"/>
        <v>154-15-00.0000W</v>
      </c>
      <c r="F62">
        <f t="shared" si="3"/>
        <v>24.295833333333334</v>
      </c>
      <c r="G62">
        <f t="shared" si="4"/>
        <v>-154.25</v>
      </c>
      <c r="H62" s="3" t="str">
        <f t="shared" si="5"/>
        <v>[248] = {["comment"] = "24-17-45.0000N 154-15-00.0000W", ["callsignStr"] = "BOARD", ["latitude"] = 24.2958333333333, ["longitude"] = -154.25 },</v>
      </c>
    </row>
    <row r="63" spans="1:8" ht="29.4" hidden="1" thickBot="1" x14ac:dyDescent="0.35">
      <c r="A63" s="4" t="s">
        <v>516</v>
      </c>
      <c r="B63" s="4" t="s">
        <v>394</v>
      </c>
      <c r="C63" s="4" t="s">
        <v>517</v>
      </c>
      <c r="D63" t="str">
        <f t="shared" si="1"/>
        <v>05-00-00.0000S</v>
      </c>
      <c r="E63" t="str">
        <f t="shared" si="2"/>
        <v>179-50-48.0000W</v>
      </c>
      <c r="F63">
        <f t="shared" si="3"/>
        <v>5</v>
      </c>
      <c r="G63">
        <f t="shared" si="4"/>
        <v>-179.84666666666666</v>
      </c>
      <c r="H63" s="3" t="str">
        <f t="shared" si="5"/>
        <v>[249] = {["comment"] = "05-00-00.0000S 179-50-48.0000W", ["callsignStr"] = "BOILS", ["latitude"] = 5, ["longitude"] = -179.846666666667 },</v>
      </c>
    </row>
    <row r="64" spans="1:8" ht="29.4" hidden="1" thickBot="1" x14ac:dyDescent="0.35">
      <c r="A64" s="4" t="s">
        <v>518</v>
      </c>
      <c r="B64" s="4" t="s">
        <v>394</v>
      </c>
      <c r="C64" s="4" t="s">
        <v>519</v>
      </c>
      <c r="D64" t="str">
        <f t="shared" si="1"/>
        <v>08-52-22.0000N</v>
      </c>
      <c r="E64" t="str">
        <f t="shared" si="2"/>
        <v>136-14-18.0000E</v>
      </c>
      <c r="F64">
        <f t="shared" si="3"/>
        <v>8.8727777777777774</v>
      </c>
      <c r="G64">
        <f t="shared" si="4"/>
        <v>136.23833333333332</v>
      </c>
      <c r="H64" s="3" t="str">
        <f t="shared" si="5"/>
        <v>[250] = {["comment"] = "08-52-22.0000N 136-14-18.0000E", ["callsignStr"] = "BOMKE", ["latitude"] = 8.87277777777778, ["longitude"] = 136.238333333333 },</v>
      </c>
    </row>
    <row r="65" spans="1:8" ht="29.4" hidden="1" thickBot="1" x14ac:dyDescent="0.35">
      <c r="A65" s="4" t="s">
        <v>520</v>
      </c>
      <c r="B65" s="4" t="s">
        <v>394</v>
      </c>
      <c r="C65" s="4" t="s">
        <v>521</v>
      </c>
      <c r="D65" t="str">
        <f t="shared" si="1"/>
        <v>15-48-25.0000N</v>
      </c>
      <c r="E65" t="str">
        <f t="shared" si="2"/>
        <v>134-25-33.0000W</v>
      </c>
      <c r="F65">
        <f t="shared" si="3"/>
        <v>15.806944444444445</v>
      </c>
      <c r="G65">
        <f t="shared" si="4"/>
        <v>-134.42583333333332</v>
      </c>
      <c r="H65" s="3" t="str">
        <f t="shared" si="5"/>
        <v>[251] = {["comment"] = "15-48-25.0000N 134-25-33.0000W", ["callsignStr"] = "BORIC", ["latitude"] = 15.8069444444444, ["longitude"] = -134.425833333333 },</v>
      </c>
    </row>
    <row r="66" spans="1:8" ht="29.4" hidden="1" thickBot="1" x14ac:dyDescent="0.35">
      <c r="A66" s="4" t="s">
        <v>522</v>
      </c>
      <c r="B66" s="4" t="s">
        <v>394</v>
      </c>
      <c r="C66" s="4" t="s">
        <v>523</v>
      </c>
      <c r="D66" t="str">
        <f t="shared" si="1"/>
        <v>37-50-00.0000N</v>
      </c>
      <c r="E66" t="str">
        <f t="shared" si="2"/>
        <v>130-00-00.0000W</v>
      </c>
      <c r="F66">
        <f t="shared" si="3"/>
        <v>37.833333333333336</v>
      </c>
      <c r="G66">
        <f t="shared" si="4"/>
        <v>-130</v>
      </c>
      <c r="H66" s="3" t="str">
        <f t="shared" si="5"/>
        <v>[252] = {["comment"] = "37-50-00.0000N 130-00-00.0000W", ["callsignStr"] = "BOSKE", ["latitude"] = 37.8333333333333, ["longitude"] = -130 },</v>
      </c>
    </row>
    <row r="67" spans="1:8" ht="29.4" hidden="1" thickBot="1" x14ac:dyDescent="0.35">
      <c r="A67" s="4" t="s">
        <v>524</v>
      </c>
      <c r="B67" s="4" t="s">
        <v>394</v>
      </c>
      <c r="C67" s="4" t="s">
        <v>525</v>
      </c>
      <c r="D67" t="str">
        <f t="shared" ref="D67:D130" si="6">findLatitude(C67)</f>
        <v>22-21-16.7800N</v>
      </c>
      <c r="E67" t="str">
        <f t="shared" ref="E67:E130" si="7">findLongitude(C67)</f>
        <v>156-37-04.0600W</v>
      </c>
      <c r="F67">
        <f t="shared" ref="F67:F130" si="8">VALUE(MID(D67,1,2))+VALUE(MID(D67,4,2))/60+VALUE(MID(D67,7,7))/(1*3600)</f>
        <v>22.354661111111113</v>
      </c>
      <c r="G67">
        <f t="shared" ref="G67:G130" si="9">(VALUE(MID(E67,1,3))+VALUE(MID(E67,5,2))/60+VALUE(MID(E67,8,7))/(1*3600))*IF(MID(E67,15,1)="E",1,-1)</f>
        <v>-156.61779444444446</v>
      </c>
      <c r="H67" s="3" t="str">
        <f t="shared" ref="H67:H130" si="10">CONCATENATE("[",ROW()+$H$1-1,"] = {","[""comment""] = """,C67,""", ","[""callsignStr""] = """,A67,""", ","[""latitude""] = ",F67,", ","[""longitude""] = ",G67," },")</f>
        <v>[253] = {["comment"] = "22-21-16.7800N 156-37-04.0600W", ["callsignStr"] = "BOWSZ", ["latitude"] = 22.3546611111111, ["longitude"] = -156.617794444444 },</v>
      </c>
    </row>
    <row r="68" spans="1:8" ht="29.4" hidden="1" thickBot="1" x14ac:dyDescent="0.35">
      <c r="A68" s="4" t="s">
        <v>526</v>
      </c>
      <c r="B68" s="4" t="s">
        <v>394</v>
      </c>
      <c r="C68" s="4" t="s">
        <v>527</v>
      </c>
      <c r="D68" t="str">
        <f t="shared" si="6"/>
        <v>42-43-00.0000N</v>
      </c>
      <c r="E68" t="str">
        <f t="shared" si="7"/>
        <v>126-10-48.0000W</v>
      </c>
      <c r="F68">
        <f t="shared" si="8"/>
        <v>42.716666666666669</v>
      </c>
      <c r="G68">
        <f t="shared" si="9"/>
        <v>-126.18</v>
      </c>
      <c r="H68" s="3" t="str">
        <f t="shared" si="10"/>
        <v>[254] = {["comment"] = "42-43-00.0000N 126-10-48.0000W", ["callsignStr"] = "BOXER", ["latitude"] = 42.7166666666667, ["longitude"] = -126.18 },</v>
      </c>
    </row>
    <row r="69" spans="1:8" ht="29.4" hidden="1" thickBot="1" x14ac:dyDescent="0.35">
      <c r="A69" s="4" t="s">
        <v>528</v>
      </c>
      <c r="B69" s="4" t="s">
        <v>394</v>
      </c>
      <c r="C69" s="4" t="s">
        <v>529</v>
      </c>
      <c r="D69" t="str">
        <f t="shared" si="6"/>
        <v>12-39-05.0000N</v>
      </c>
      <c r="E69" t="str">
        <f t="shared" si="7"/>
        <v>165-47-46.0000W</v>
      </c>
      <c r="F69">
        <f t="shared" si="8"/>
        <v>12.651388888888889</v>
      </c>
      <c r="G69">
        <f t="shared" si="9"/>
        <v>-165.79611111111112</v>
      </c>
      <c r="H69" s="3" t="str">
        <f t="shared" si="10"/>
        <v>[255] = {["comment"] = "12-39-05.0000N 165-47-46.0000W", ["callsignStr"] = "BOYES", ["latitude"] = 12.6513888888889, ["longitude"] = -165.796111111111 },</v>
      </c>
    </row>
    <row r="70" spans="1:8" ht="29.4" hidden="1" thickBot="1" x14ac:dyDescent="0.35">
      <c r="A70" s="4" t="s">
        <v>530</v>
      </c>
      <c r="B70" s="4" t="s">
        <v>394</v>
      </c>
      <c r="C70" s="4" t="s">
        <v>531</v>
      </c>
      <c r="D70" t="str">
        <f t="shared" si="6"/>
        <v>37-18-17.1400N</v>
      </c>
      <c r="E70" t="str">
        <f t="shared" si="7"/>
        <v>122-39-41.9600W</v>
      </c>
      <c r="F70">
        <f t="shared" si="8"/>
        <v>37.304761111111105</v>
      </c>
      <c r="G70">
        <f t="shared" si="9"/>
        <v>-122.66165555555555</v>
      </c>
      <c r="H70" s="3" t="str">
        <f t="shared" si="10"/>
        <v>[256] = {["comment"] = "OSI*D*237.00/18.94 PYE*D*151.00/47.47 37-18-17.1400N 122-39-41.9600W", ["callsignStr"] = "BRINY", ["latitude"] = 37.3047611111111, ["longitude"] = -122.661655555556 },</v>
      </c>
    </row>
    <row r="71" spans="1:8" ht="29.4" hidden="1" thickBot="1" x14ac:dyDescent="0.35">
      <c r="A71" s="4" t="s">
        <v>532</v>
      </c>
      <c r="B71" s="4" t="s">
        <v>394</v>
      </c>
      <c r="C71" s="4" t="s">
        <v>533</v>
      </c>
      <c r="D71" t="str">
        <f t="shared" si="6"/>
        <v>21-09-04.0000N</v>
      </c>
      <c r="E71" t="str">
        <f t="shared" si="7"/>
        <v>163-54-52.0000W</v>
      </c>
      <c r="F71">
        <f t="shared" si="8"/>
        <v>21.15111111111111</v>
      </c>
      <c r="G71">
        <f t="shared" si="9"/>
        <v>-163.91444444444446</v>
      </c>
      <c r="H71" s="3" t="str">
        <f t="shared" si="10"/>
        <v>[257] = {["comment"] = "21-09-04.0000N 163-54-52.0000W", ["callsignStr"] = "BRIUN", ["latitude"] = 21.1511111111111, ["longitude"] = -163.914444444444 },</v>
      </c>
    </row>
    <row r="72" spans="1:8" ht="29.4" hidden="1" thickBot="1" x14ac:dyDescent="0.35">
      <c r="A72" s="4" t="s">
        <v>534</v>
      </c>
      <c r="B72" s="4" t="s">
        <v>394</v>
      </c>
      <c r="C72" s="4" t="s">
        <v>535</v>
      </c>
      <c r="D72" t="str">
        <f t="shared" si="6"/>
        <v>21-28-02.8900N</v>
      </c>
      <c r="E72" t="str">
        <f t="shared" si="7"/>
        <v>157-26-44.2700W</v>
      </c>
      <c r="F72">
        <f t="shared" si="8"/>
        <v>21.467469444444443</v>
      </c>
      <c r="G72">
        <f t="shared" si="9"/>
        <v>-157.44563055555557</v>
      </c>
      <c r="H72" s="3" t="str">
        <f t="shared" si="10"/>
        <v>[258] = {["comment"] = "21-28-02.8900N 157-26-44.2700W", ["callsignStr"] = "BRYDG", ["latitude"] = 21.4674694444444, ["longitude"] = -157.445630555556 },</v>
      </c>
    </row>
    <row r="73" spans="1:8" ht="29.4" thickBot="1" x14ac:dyDescent="0.35">
      <c r="A73" s="4" t="s">
        <v>536</v>
      </c>
      <c r="B73" s="4" t="s">
        <v>394</v>
      </c>
      <c r="C73" s="4" t="s">
        <v>537</v>
      </c>
      <c r="D73" t="str">
        <f t="shared" si="6"/>
        <v>12-35-36.0000N</v>
      </c>
      <c r="E73" t="str">
        <f t="shared" si="7"/>
        <v>143-16-00.0000E</v>
      </c>
      <c r="F73">
        <f t="shared" si="8"/>
        <v>12.593333333333334</v>
      </c>
      <c r="G73">
        <f t="shared" si="9"/>
        <v>143.26666666666668</v>
      </c>
      <c r="H73" s="3" t="str">
        <f t="shared" si="10"/>
        <v>[259] = {["comment"] = "12-35-36.0000N 143-16-00.0000E", ["callsignStr"] = "BUCAT", ["latitude"] = 12.5933333333333, ["longitude"] = 143.266666666667 },</v>
      </c>
    </row>
    <row r="74" spans="1:8" ht="29.4" hidden="1" thickBot="1" x14ac:dyDescent="0.35">
      <c r="A74" s="4" t="s">
        <v>538</v>
      </c>
      <c r="B74" s="4" t="s">
        <v>394</v>
      </c>
      <c r="C74" s="4" t="s">
        <v>539</v>
      </c>
      <c r="D74" t="str">
        <f t="shared" si="6"/>
        <v>37-50-55.0000N</v>
      </c>
      <c r="E74" t="str">
        <f t="shared" si="7"/>
        <v>127-00-00.0000W</v>
      </c>
      <c r="F74">
        <f t="shared" si="8"/>
        <v>37.848611111111111</v>
      </c>
      <c r="G74">
        <f t="shared" si="9"/>
        <v>-127</v>
      </c>
      <c r="H74" s="3" t="str">
        <f t="shared" si="10"/>
        <v>[260] = {["comment"] = "37-50-55.0000N 127-00-00.0000W", ["callsignStr"] = "BUTEN", ["latitude"] = 37.8486111111111, ["longitude"] = -127 },</v>
      </c>
    </row>
    <row r="75" spans="1:8" ht="29.4" hidden="1" thickBot="1" x14ac:dyDescent="0.35">
      <c r="A75" s="4" t="s">
        <v>540</v>
      </c>
      <c r="B75" s="4" t="s">
        <v>394</v>
      </c>
      <c r="C75" s="4" t="s">
        <v>541</v>
      </c>
      <c r="D75" t="str">
        <f t="shared" si="6"/>
        <v>09-20-34.0000N</v>
      </c>
      <c r="E75" t="str">
        <f t="shared" si="7"/>
        <v>136-55-28.0000E</v>
      </c>
      <c r="F75">
        <f t="shared" si="8"/>
        <v>9.3427777777777781</v>
      </c>
      <c r="G75">
        <f t="shared" si="9"/>
        <v>136.92444444444445</v>
      </c>
      <c r="H75" s="3" t="str">
        <f t="shared" si="10"/>
        <v>[261] = {["comment"] = "09-20-34.0000N 136-55-28.0000E", ["callsignStr"] = "CABEG", ["latitude"] = 9.34277777777778, ["longitude"] = 136.924444444444 },</v>
      </c>
    </row>
    <row r="76" spans="1:8" ht="15" hidden="1" thickBot="1" x14ac:dyDescent="0.35">
      <c r="A76" s="4" t="s">
        <v>542</v>
      </c>
      <c r="B76" s="4" t="s">
        <v>394</v>
      </c>
      <c r="C76" s="4" t="s">
        <v>543</v>
      </c>
      <c r="D76" t="str">
        <f t="shared" si="6"/>
        <v>03-30-00.0000N</v>
      </c>
      <c r="E76" t="str">
        <f t="shared" si="7"/>
        <v>133-30-00.0000E</v>
      </c>
      <c r="F76">
        <f t="shared" si="8"/>
        <v>3.5</v>
      </c>
      <c r="G76">
        <f t="shared" si="9"/>
        <v>133.5</v>
      </c>
      <c r="H76" s="3" t="str">
        <f t="shared" si="10"/>
        <v>[262] = {["comment"] = "03-30-00.0000N 133-30-00.0000E", ["callsignStr"] = "CAHYO", ["latitude"] = 3.5, ["longitude"] = 133.5 },</v>
      </c>
    </row>
    <row r="77" spans="1:8" ht="29.4" hidden="1" thickBot="1" x14ac:dyDescent="0.35">
      <c r="A77" s="4" t="s">
        <v>544</v>
      </c>
      <c r="B77" s="4" t="s">
        <v>394</v>
      </c>
      <c r="C77" s="4" t="s">
        <v>545</v>
      </c>
      <c r="D77" t="str">
        <f t="shared" si="6"/>
        <v>14-53-17.0000N</v>
      </c>
      <c r="E77" t="str">
        <f t="shared" si="7"/>
        <v>146-04-18.0000W</v>
      </c>
      <c r="F77">
        <f t="shared" si="8"/>
        <v>14.888055555555555</v>
      </c>
      <c r="G77">
        <f t="shared" si="9"/>
        <v>-146.07166666666666</v>
      </c>
      <c r="H77" s="3" t="str">
        <f t="shared" si="10"/>
        <v>[263] = {["comment"] = "14-53-17.0000N 146-04-18.0000W", ["callsignStr"] = "CAMOS", ["latitude"] = 14.8880555555556, ["longitude"] = -146.071666666667 },</v>
      </c>
    </row>
    <row r="78" spans="1:8" ht="29.4" hidden="1" thickBot="1" x14ac:dyDescent="0.35">
      <c r="A78" s="4" t="s">
        <v>546</v>
      </c>
      <c r="B78" s="4" t="s">
        <v>394</v>
      </c>
      <c r="C78" s="4" t="s">
        <v>547</v>
      </c>
      <c r="D78" t="str">
        <f t="shared" si="6"/>
        <v>19-12-40.5500N</v>
      </c>
      <c r="E78" t="str">
        <f t="shared" si="7"/>
        <v>166-59-43.7400E</v>
      </c>
      <c r="F78">
        <f t="shared" si="8"/>
        <v>19.211263888888887</v>
      </c>
      <c r="G78">
        <f t="shared" si="9"/>
        <v>166.99548333333331</v>
      </c>
      <c r="H78" s="3" t="str">
        <f t="shared" si="10"/>
        <v>[264] = {["comment"] = "19-12-40.5500N 166-59-43.7400E", ["callsignStr"] = "CANKU", ["latitude"] = 19.2112638888889, ["longitude"] = 166.995483333333 },</v>
      </c>
    </row>
    <row r="79" spans="1:8" ht="29.4" hidden="1" thickBot="1" x14ac:dyDescent="0.35">
      <c r="A79" s="4" t="s">
        <v>548</v>
      </c>
      <c r="B79" s="4" t="s">
        <v>394</v>
      </c>
      <c r="C79" s="4" t="s">
        <v>549</v>
      </c>
      <c r="D79" t="str">
        <f t="shared" si="6"/>
        <v>23-31-39.0000N</v>
      </c>
      <c r="E79" t="str">
        <f t="shared" si="7"/>
        <v>155-00-00.0000E</v>
      </c>
      <c r="F79">
        <f t="shared" si="8"/>
        <v>23.5275</v>
      </c>
      <c r="G79">
        <f t="shared" si="9"/>
        <v>155</v>
      </c>
      <c r="H79" s="3" t="str">
        <f t="shared" si="10"/>
        <v>[265] = {["comment"] = "23-31-39.0000N 155-00-00.0000E", ["callsignStr"] = "CANOE", ["latitude"] = 23.5275, ["longitude"] = 155 },</v>
      </c>
    </row>
    <row r="80" spans="1:8" ht="29.4" hidden="1" thickBot="1" x14ac:dyDescent="0.35">
      <c r="A80" s="4" t="s">
        <v>550</v>
      </c>
      <c r="B80" s="4" t="s">
        <v>394</v>
      </c>
      <c r="C80" s="4" t="s">
        <v>551</v>
      </c>
      <c r="D80" t="str">
        <f t="shared" si="6"/>
        <v>12-57-46.0000N</v>
      </c>
      <c r="E80" t="str">
        <f t="shared" si="7"/>
        <v>144-14-35.0000W</v>
      </c>
      <c r="F80">
        <f t="shared" si="8"/>
        <v>12.962777777777777</v>
      </c>
      <c r="G80">
        <f t="shared" si="9"/>
        <v>-144.24305555555554</v>
      </c>
      <c r="H80" s="3" t="str">
        <f t="shared" si="10"/>
        <v>[266] = {["comment"] = "12-57-46.0000N 144-14-35.0000W", ["callsignStr"] = "CANOL", ["latitude"] = 12.9627777777778, ["longitude"] = -144.243055555556 },</v>
      </c>
    </row>
    <row r="81" spans="1:8" ht="29.4" hidden="1" thickBot="1" x14ac:dyDescent="0.35">
      <c r="A81" s="4" t="s">
        <v>552</v>
      </c>
      <c r="B81" s="4" t="s">
        <v>394</v>
      </c>
      <c r="C81" s="4" t="s">
        <v>553</v>
      </c>
      <c r="D81" t="str">
        <f t="shared" si="6"/>
        <v>10-21-22.0000N</v>
      </c>
      <c r="E81" t="str">
        <f t="shared" si="7"/>
        <v>141-15-28.0000W</v>
      </c>
      <c r="F81">
        <f t="shared" si="8"/>
        <v>10.35611111111111</v>
      </c>
      <c r="G81">
        <f t="shared" si="9"/>
        <v>-141.25777777777779</v>
      </c>
      <c r="H81" s="3" t="str">
        <f t="shared" si="10"/>
        <v>[267] = {["comment"] = "10-21-22.0000N 141-15-28.0000W", ["callsignStr"] = "CARLS", ["latitude"] = 10.3561111111111, ["longitude"] = -141.257777777778 },</v>
      </c>
    </row>
    <row r="82" spans="1:8" ht="29.4" hidden="1" thickBot="1" x14ac:dyDescent="0.35">
      <c r="A82" s="4" t="s">
        <v>554</v>
      </c>
      <c r="B82" s="4" t="s">
        <v>394</v>
      </c>
      <c r="C82" s="4" t="s">
        <v>555</v>
      </c>
      <c r="D82" t="str">
        <f t="shared" si="6"/>
        <v>19-04-24.0000N</v>
      </c>
      <c r="E82" t="str">
        <f t="shared" si="7"/>
        <v>159-35-00.0000W</v>
      </c>
      <c r="F82">
        <f t="shared" si="8"/>
        <v>19.073333333333334</v>
      </c>
      <c r="G82">
        <f t="shared" si="9"/>
        <v>-159.58333333333334</v>
      </c>
      <c r="H82" s="3" t="str">
        <f t="shared" si="10"/>
        <v>[268] = {["comment"] = "HNL*C*204.21/162.94 19-04-24.0000N 159-35-00.0000W", ["callsignStr"] = "CARRP", ["latitude"] = 19.0733333333333, ["longitude"] = -159.583333333333 },</v>
      </c>
    </row>
    <row r="83" spans="1:8" ht="29.4" hidden="1" thickBot="1" x14ac:dyDescent="0.35">
      <c r="A83" s="4" t="s">
        <v>556</v>
      </c>
      <c r="B83" s="4" t="s">
        <v>394</v>
      </c>
      <c r="C83" s="4" t="s">
        <v>557</v>
      </c>
      <c r="D83" t="str">
        <f t="shared" si="6"/>
        <v>23-46-50.0000N</v>
      </c>
      <c r="E83" t="str">
        <f t="shared" si="7"/>
        <v>153-21-58.0000W</v>
      </c>
      <c r="F83">
        <f t="shared" si="8"/>
        <v>23.780555555555555</v>
      </c>
      <c r="G83">
        <f t="shared" si="9"/>
        <v>-153.36611111111111</v>
      </c>
      <c r="H83" s="3" t="str">
        <f t="shared" si="10"/>
        <v>[269] = {["comment"] = "23-46-50.0000N 153-21-58.0000W", ["callsignStr"] = "CEBEN", ["latitude"] = 23.7805555555556, ["longitude"] = -153.366111111111 },</v>
      </c>
    </row>
    <row r="84" spans="1:8" ht="29.4" hidden="1" thickBot="1" x14ac:dyDescent="0.35">
      <c r="A84" s="4" t="s">
        <v>558</v>
      </c>
      <c r="B84" s="4" t="s">
        <v>394</v>
      </c>
      <c r="C84" s="4" t="s">
        <v>559</v>
      </c>
      <c r="D84" t="str">
        <f t="shared" si="6"/>
        <v>02-38-16.0000N</v>
      </c>
      <c r="E84" t="str">
        <f t="shared" si="7"/>
        <v>169-56-48.0000W</v>
      </c>
      <c r="F84">
        <f t="shared" si="8"/>
        <v>2.6377777777777776</v>
      </c>
      <c r="G84">
        <f t="shared" si="9"/>
        <v>-169.94666666666666</v>
      </c>
      <c r="H84" s="3" t="str">
        <f t="shared" si="10"/>
        <v>[270] = {["comment"] = "02-38-16.0000N 169-56-48.0000W", ["callsignStr"] = "CEBUR", ["latitude"] = 2.63777777777778, ["longitude"] = -169.946666666667 },</v>
      </c>
    </row>
    <row r="85" spans="1:8" ht="29.4" hidden="1" thickBot="1" x14ac:dyDescent="0.35">
      <c r="A85" s="4" t="s">
        <v>560</v>
      </c>
      <c r="B85" s="4" t="s">
        <v>394</v>
      </c>
      <c r="C85" s="4" t="s">
        <v>561</v>
      </c>
      <c r="D85" t="str">
        <f t="shared" si="6"/>
        <v>38-07-51.0000N</v>
      </c>
      <c r="E85" t="str">
        <f t="shared" si="7"/>
        <v>127-00-00.0000W</v>
      </c>
      <c r="F85">
        <f t="shared" si="8"/>
        <v>38.130833333333335</v>
      </c>
      <c r="G85">
        <f t="shared" si="9"/>
        <v>-127</v>
      </c>
      <c r="H85" s="3" t="str">
        <f t="shared" si="10"/>
        <v>[271] = {["comment"] = "38-07-51.0000N 127-00-00.0000W", ["callsignStr"] = "CEPAS", ["latitude"] = 38.1308333333333, ["longitude"] = -127 },</v>
      </c>
    </row>
    <row r="86" spans="1:8" ht="29.4" hidden="1" thickBot="1" x14ac:dyDescent="0.35">
      <c r="A86" s="4" t="s">
        <v>562</v>
      </c>
      <c r="B86" s="4" t="s">
        <v>394</v>
      </c>
      <c r="C86" s="4" t="s">
        <v>563</v>
      </c>
      <c r="D86" t="str">
        <f t="shared" si="6"/>
        <v>33-16-42.1800N</v>
      </c>
      <c r="E86" t="str">
        <f t="shared" si="7"/>
        <v>122-25-37.6700W</v>
      </c>
      <c r="F86">
        <f t="shared" si="8"/>
        <v>33.278383333333331</v>
      </c>
      <c r="G86">
        <f t="shared" si="9"/>
        <v>-122.42713055555556</v>
      </c>
      <c r="H86" s="3" t="str">
        <f t="shared" si="10"/>
        <v>[272] = {["comment"] = "33-16-42.1800N 122-25-37.6700W", ["callsignStr"] = "CERNL", ["latitude"] = 33.2783833333333, ["longitude"] = -122.427130555556 },</v>
      </c>
    </row>
    <row r="87" spans="1:8" ht="29.4" hidden="1" thickBot="1" x14ac:dyDescent="0.35">
      <c r="A87" s="4" t="s">
        <v>564</v>
      </c>
      <c r="B87" s="4" t="s">
        <v>394</v>
      </c>
      <c r="C87" s="4" t="s">
        <v>565</v>
      </c>
      <c r="D87" t="str">
        <f t="shared" si="6"/>
        <v>08-32-15.0000N</v>
      </c>
      <c r="E87" t="str">
        <f t="shared" si="7"/>
        <v>137-24-49.0000E</v>
      </c>
      <c r="F87">
        <f t="shared" si="8"/>
        <v>8.5374999999999996</v>
      </c>
      <c r="G87">
        <f t="shared" si="9"/>
        <v>137.41361111111112</v>
      </c>
      <c r="H87" s="3" t="str">
        <f t="shared" si="10"/>
        <v>[273] = {["comment"] = "08-32-15.0000N 137-24-49.0000E", ["callsignStr"] = "CEVIE", ["latitude"] = 8.5375, ["longitude"] = 137.413611111111 },</v>
      </c>
    </row>
    <row r="88" spans="1:8" ht="29.4" hidden="1" thickBot="1" x14ac:dyDescent="0.35">
      <c r="A88" s="4" t="s">
        <v>566</v>
      </c>
      <c r="B88" s="4" t="s">
        <v>394</v>
      </c>
      <c r="C88" s="4" t="s">
        <v>567</v>
      </c>
      <c r="D88" t="str">
        <f t="shared" si="6"/>
        <v>18-03-09.0000N</v>
      </c>
      <c r="E88" t="str">
        <f t="shared" si="7"/>
        <v>160-16-11.0000W</v>
      </c>
      <c r="F88">
        <f t="shared" si="8"/>
        <v>18.052500000000002</v>
      </c>
      <c r="G88">
        <f t="shared" si="9"/>
        <v>-160.26972222222224</v>
      </c>
      <c r="H88" s="3" t="str">
        <f t="shared" si="10"/>
        <v>[274] = {["comment"] = "18-03-09.0000N 160-16-11.0000W", ["callsignStr"] = "CHEEM", ["latitude"] = 18.0525, ["longitude"] = -160.269722222222 },</v>
      </c>
    </row>
    <row r="89" spans="1:8" ht="29.4" hidden="1" thickBot="1" x14ac:dyDescent="0.35">
      <c r="A89" s="4" t="s">
        <v>568</v>
      </c>
      <c r="B89" s="4" t="s">
        <v>394</v>
      </c>
      <c r="C89" s="4" t="s">
        <v>569</v>
      </c>
      <c r="D89" t="str">
        <f t="shared" si="6"/>
        <v>51-15-18.0000N</v>
      </c>
      <c r="E89" t="str">
        <f t="shared" si="7"/>
        <v>175-20-24.0000E</v>
      </c>
      <c r="F89">
        <f t="shared" si="8"/>
        <v>51.255000000000003</v>
      </c>
      <c r="G89">
        <f t="shared" si="9"/>
        <v>175.34</v>
      </c>
      <c r="H89" s="3" t="str">
        <f t="shared" si="10"/>
        <v>[275] = {["comment"] = "51-15-18.0000N 175-20-24.0000E", ["callsignStr"] = "CHIPT", ["latitude"] = 51.255, ["longitude"] = 175.34 },</v>
      </c>
    </row>
    <row r="90" spans="1:8" ht="29.4" hidden="1" thickBot="1" x14ac:dyDescent="0.35">
      <c r="A90" s="4" t="s">
        <v>570</v>
      </c>
      <c r="B90" s="4" t="s">
        <v>394</v>
      </c>
      <c r="C90" s="4" t="s">
        <v>571</v>
      </c>
      <c r="D90" t="str">
        <f t="shared" si="6"/>
        <v>20-22-38.4500N</v>
      </c>
      <c r="E90" t="str">
        <f t="shared" si="7"/>
        <v>160-52-59.1500W</v>
      </c>
      <c r="F90">
        <f t="shared" si="8"/>
        <v>20.377347222222223</v>
      </c>
      <c r="G90">
        <f t="shared" si="9"/>
        <v>-160.88309722222223</v>
      </c>
      <c r="H90" s="3" t="str">
        <f t="shared" si="10"/>
        <v>[276] = {["comment"] = "20-22-38.4500N 160-52-59.1500W", ["callsignStr"] = "CHOKO", ["latitude"] = 20.3773472222222, ["longitude"] = -160.883097222222 },</v>
      </c>
    </row>
    <row r="91" spans="1:8" ht="29.4" hidden="1" thickBot="1" x14ac:dyDescent="0.35">
      <c r="A91" s="4" t="s">
        <v>572</v>
      </c>
      <c r="B91" s="4" t="s">
        <v>394</v>
      </c>
      <c r="C91" s="4" t="s">
        <v>573</v>
      </c>
      <c r="D91" t="str">
        <f t="shared" si="6"/>
        <v>08-01-43.0000N</v>
      </c>
      <c r="E91" t="str">
        <f t="shared" si="7"/>
        <v>136-33-39.0000E</v>
      </c>
      <c r="F91">
        <f t="shared" si="8"/>
        <v>8.0286111111111111</v>
      </c>
      <c r="G91">
        <f t="shared" si="9"/>
        <v>136.56083333333333</v>
      </c>
      <c r="H91" s="3" t="str">
        <f t="shared" si="10"/>
        <v>[277] = {["comment"] = "08-01-43.0000N 136-33-39.0000E", ["callsignStr"] = "CHRLI", ["latitude"] = 8.02861111111111, ["longitude"] = 136.560833333333 },</v>
      </c>
    </row>
    <row r="92" spans="1:8" ht="29.4" hidden="1" thickBot="1" x14ac:dyDescent="0.35">
      <c r="A92" s="4" t="s">
        <v>574</v>
      </c>
      <c r="B92" s="4" t="s">
        <v>394</v>
      </c>
      <c r="C92" s="4" t="s">
        <v>575</v>
      </c>
      <c r="D92" t="str">
        <f t="shared" si="6"/>
        <v>36-10-54.0000N</v>
      </c>
      <c r="E92" t="str">
        <f t="shared" si="7"/>
        <v>124-45-36.0000W</v>
      </c>
      <c r="F92">
        <f t="shared" si="8"/>
        <v>36.181666666666665</v>
      </c>
      <c r="G92">
        <f t="shared" si="9"/>
        <v>-124.76</v>
      </c>
      <c r="H92" s="3" t="str">
        <f t="shared" si="10"/>
        <v>[278] = {["comment"] = "36-10-54.0000N 124-45-36.0000W", ["callsignStr"] = "CINNY", ["latitude"] = 36.1816666666667, ["longitude"] = -124.76 },</v>
      </c>
    </row>
    <row r="93" spans="1:8" ht="29.4" hidden="1" thickBot="1" x14ac:dyDescent="0.35">
      <c r="A93" s="4" t="s">
        <v>576</v>
      </c>
      <c r="B93" s="4" t="s">
        <v>394</v>
      </c>
      <c r="C93" s="4" t="s">
        <v>577</v>
      </c>
      <c r="D93" t="str">
        <f t="shared" si="6"/>
        <v>07-09-42.0000N</v>
      </c>
      <c r="E93" t="str">
        <f t="shared" si="7"/>
        <v>136-19-32.0000W</v>
      </c>
      <c r="F93">
        <f t="shared" si="8"/>
        <v>7.1616666666666671</v>
      </c>
      <c r="G93">
        <f t="shared" si="9"/>
        <v>-136.32555555555555</v>
      </c>
      <c r="H93" s="3" t="str">
        <f t="shared" si="10"/>
        <v>[279] = {["comment"] = "07-09-42.0000N 136-19-32.0000W", ["callsignStr"] = "CINTO", ["latitude"] = 7.16166666666667, ["longitude"] = -136.325555555556 },</v>
      </c>
    </row>
    <row r="94" spans="1:8" ht="29.4" hidden="1" thickBot="1" x14ac:dyDescent="0.35">
      <c r="A94" s="4" t="s">
        <v>578</v>
      </c>
      <c r="B94" s="4" t="s">
        <v>394</v>
      </c>
      <c r="C94" s="4" t="s">
        <v>579</v>
      </c>
      <c r="D94" t="str">
        <f t="shared" si="6"/>
        <v>27-14-12.0000N</v>
      </c>
      <c r="E94" t="str">
        <f t="shared" si="7"/>
        <v>147-13-11.0000W</v>
      </c>
      <c r="F94">
        <f t="shared" si="8"/>
        <v>27.236666666666668</v>
      </c>
      <c r="G94">
        <f t="shared" si="9"/>
        <v>-147.21972222222223</v>
      </c>
      <c r="H94" s="3" t="str">
        <f t="shared" si="10"/>
        <v>[280] = {["comment"] = "27-14-12.0000N 147-13-11.0000W", ["callsignStr"] = "CIVIT", ["latitude"] = 27.2366666666667, ["longitude"] = -147.219722222222 },</v>
      </c>
    </row>
    <row r="95" spans="1:8" ht="29.4" thickBot="1" x14ac:dyDescent="0.35">
      <c r="A95" s="4" t="s">
        <v>580</v>
      </c>
      <c r="B95" s="4" t="s">
        <v>394</v>
      </c>
      <c r="C95" s="4" t="s">
        <v>581</v>
      </c>
      <c r="D95" t="str">
        <f t="shared" si="6"/>
        <v>12-48-18.0000N</v>
      </c>
      <c r="E95" t="str">
        <f t="shared" si="7"/>
        <v>146-18-42.0000E</v>
      </c>
      <c r="F95">
        <f t="shared" si="8"/>
        <v>12.805000000000001</v>
      </c>
      <c r="G95">
        <f t="shared" si="9"/>
        <v>146.31166666666667</v>
      </c>
      <c r="H95" s="3" t="str">
        <f t="shared" si="10"/>
        <v>[281] = {["comment"] = "12-48-18.0000N 146-18-42.0000E", ["callsignStr"] = "CLANS", ["latitude"] = 12.805, ["longitude"] = 146.311666666667 },</v>
      </c>
    </row>
    <row r="96" spans="1:8" ht="29.4" hidden="1" thickBot="1" x14ac:dyDescent="0.35">
      <c r="A96" s="4" t="s">
        <v>582</v>
      </c>
      <c r="B96" s="4" t="s">
        <v>394</v>
      </c>
      <c r="C96" s="4" t="s">
        <v>583</v>
      </c>
      <c r="D96" t="str">
        <f t="shared" si="6"/>
        <v>23-00-11.7300N</v>
      </c>
      <c r="E96" t="str">
        <f t="shared" si="7"/>
        <v>154-39-17.1800W</v>
      </c>
      <c r="F96">
        <f t="shared" si="8"/>
        <v>23.003258333333335</v>
      </c>
      <c r="G96">
        <f t="shared" si="9"/>
        <v>-154.65477222222222</v>
      </c>
      <c r="H96" s="3" t="str">
        <f t="shared" si="10"/>
        <v>[282] = {["comment"] = "MKK*C*040.00/179.00 OGG*C*026.83/159.43 UPP*C*010.42/180.26 23-00-11.7300N 154-39-17.1800W", ["callsignStr"] = "CLUTS", ["latitude"] = 23.0032583333333, ["longitude"] = -154.654772222222 },</v>
      </c>
    </row>
    <row r="97" spans="1:8" ht="29.4" hidden="1" thickBot="1" x14ac:dyDescent="0.35">
      <c r="A97" s="4" t="s">
        <v>584</v>
      </c>
      <c r="B97" s="4" t="s">
        <v>394</v>
      </c>
      <c r="C97" s="4" t="s">
        <v>585</v>
      </c>
      <c r="D97" t="str">
        <f t="shared" si="6"/>
        <v>20-25-07.4500N</v>
      </c>
      <c r="E97" t="str">
        <f t="shared" si="7"/>
        <v>154-52-17.2900W</v>
      </c>
      <c r="F97">
        <f t="shared" si="8"/>
        <v>20.418736111111112</v>
      </c>
      <c r="G97">
        <f t="shared" si="9"/>
        <v>-154.87146944444444</v>
      </c>
      <c r="H97" s="3" t="str">
        <f t="shared" si="10"/>
        <v>[283] = {["comment"] = "20-25-07.4500N 154-52-17.2900W", ["callsignStr"] = "CNALI", ["latitude"] = 20.4187361111111, ["longitude"] = -154.871469444444 },</v>
      </c>
    </row>
    <row r="98" spans="1:8" ht="15" hidden="1" thickBot="1" x14ac:dyDescent="0.35">
      <c r="A98" s="4" t="s">
        <v>586</v>
      </c>
      <c r="B98" s="4" t="s">
        <v>394</v>
      </c>
      <c r="C98" s="4" t="s">
        <v>587</v>
      </c>
      <c r="D98" t="str">
        <f t="shared" si="6"/>
        <v>80-00-00.0000N</v>
      </c>
      <c r="E98" t="str">
        <f t="shared" si="7"/>
        <v>141-00-00.0000W</v>
      </c>
      <c r="F98">
        <f t="shared" si="8"/>
        <v>80</v>
      </c>
      <c r="G98">
        <f t="shared" si="9"/>
        <v>-141</v>
      </c>
      <c r="H98" s="3" t="str">
        <f t="shared" si="10"/>
        <v>[284] = {["comment"] = "80-00-00.0000N 141-00-00.0000W", ["callsignStr"] = "COALL", ["latitude"] = 80, ["longitude"] = -141 },</v>
      </c>
    </row>
    <row r="99" spans="1:8" ht="29.4" hidden="1" thickBot="1" x14ac:dyDescent="0.35">
      <c r="A99" s="4" t="s">
        <v>588</v>
      </c>
      <c r="B99" s="4" t="s">
        <v>394</v>
      </c>
      <c r="C99" s="4" t="s">
        <v>589</v>
      </c>
      <c r="D99" t="str">
        <f t="shared" si="6"/>
        <v>38-50-00.0000N</v>
      </c>
      <c r="E99" t="str">
        <f t="shared" si="7"/>
        <v>130-00-00.0000W</v>
      </c>
      <c r="F99">
        <f t="shared" si="8"/>
        <v>38.833333333333336</v>
      </c>
      <c r="G99">
        <f t="shared" si="9"/>
        <v>-130</v>
      </c>
      <c r="H99" s="3" t="str">
        <f t="shared" si="10"/>
        <v>[285] = {["comment"] = "38-50-00.0000N 130-00-00.0000W", ["callsignStr"] = "COBAD", ["latitude"] = 38.8333333333333, ["longitude"] = -130 },</v>
      </c>
    </row>
    <row r="100" spans="1:8" ht="29.4" hidden="1" thickBot="1" x14ac:dyDescent="0.35">
      <c r="A100" s="4" t="s">
        <v>590</v>
      </c>
      <c r="B100" s="4" t="s">
        <v>394</v>
      </c>
      <c r="C100" s="4" t="s">
        <v>591</v>
      </c>
      <c r="D100" t="str">
        <f t="shared" si="6"/>
        <v>16-37-06.2800N</v>
      </c>
      <c r="E100" t="str">
        <f t="shared" si="7"/>
        <v>169-46-57.0300W</v>
      </c>
      <c r="F100">
        <f t="shared" si="8"/>
        <v>16.618411111111111</v>
      </c>
      <c r="G100">
        <f t="shared" si="9"/>
        <v>-169.78250833333334</v>
      </c>
      <c r="H100" s="3" t="str">
        <f t="shared" si="10"/>
        <v>[286] = {["comment"] = "16-37-06.2800N 169-46-57.0300W", ["callsignStr"] = "COBAL", ["latitude"] = 16.6184111111111, ["longitude"] = -169.782508333333 },</v>
      </c>
    </row>
    <row r="101" spans="1:8" ht="29.4" hidden="1" thickBot="1" x14ac:dyDescent="0.35">
      <c r="A101" s="4" t="s">
        <v>592</v>
      </c>
      <c r="B101" s="4" t="s">
        <v>394</v>
      </c>
      <c r="C101" s="4" t="s">
        <v>593</v>
      </c>
      <c r="D101" t="str">
        <f t="shared" si="6"/>
        <v>08-49-09.0000N</v>
      </c>
      <c r="E101" t="str">
        <f t="shared" si="7"/>
        <v>136-03-26.0000E</v>
      </c>
      <c r="F101">
        <f t="shared" si="8"/>
        <v>8.8191666666666659</v>
      </c>
      <c r="G101">
        <f t="shared" si="9"/>
        <v>136.05722222222224</v>
      </c>
      <c r="H101" s="3" t="str">
        <f t="shared" si="10"/>
        <v>[287] = {["comment"] = "08-49-09.0000N 136-03-26.0000E", ["callsignStr"] = "COBAT", ["latitude"] = 8.81916666666667, ["longitude"] = 136.057222222222 },</v>
      </c>
    </row>
    <row r="102" spans="1:8" ht="29.4" hidden="1" thickBot="1" x14ac:dyDescent="0.35">
      <c r="A102" s="4" t="s">
        <v>594</v>
      </c>
      <c r="B102" s="4" t="s">
        <v>394</v>
      </c>
      <c r="C102" s="4" t="s">
        <v>595</v>
      </c>
      <c r="D102" t="str">
        <f t="shared" si="6"/>
        <v>08-18-58.0000N</v>
      </c>
      <c r="E102" t="str">
        <f t="shared" si="7"/>
        <v>135-12-59.0000E</v>
      </c>
      <c r="F102">
        <f t="shared" si="8"/>
        <v>8.3161111111111126</v>
      </c>
      <c r="G102">
        <f t="shared" si="9"/>
        <v>135.21638888888887</v>
      </c>
      <c r="H102" s="3" t="str">
        <f t="shared" si="10"/>
        <v>[288] = {["comment"] = "08-18-58.0000N 135-12-59.0000E", ["callsignStr"] = "COBIN", ["latitude"] = 8.31611111111111, ["longitude"] = 135.216388888889 },</v>
      </c>
    </row>
    <row r="103" spans="1:8" ht="29.4" hidden="1" thickBot="1" x14ac:dyDescent="0.35">
      <c r="A103" s="4" t="s">
        <v>596</v>
      </c>
      <c r="B103" s="4" t="s">
        <v>394</v>
      </c>
      <c r="C103" s="4" t="s">
        <v>597</v>
      </c>
      <c r="D103" t="str">
        <f t="shared" si="6"/>
        <v>08-53-32.0000N</v>
      </c>
      <c r="E103" t="str">
        <f t="shared" si="7"/>
        <v>139-13-38.0000W</v>
      </c>
      <c r="F103">
        <f t="shared" si="8"/>
        <v>8.8922222222222214</v>
      </c>
      <c r="G103">
        <f t="shared" si="9"/>
        <v>-139.22722222222222</v>
      </c>
      <c r="H103" s="3" t="str">
        <f t="shared" si="10"/>
        <v>[289] = {["comment"] = "08-53-32.0000N 139-13-38.0000W", ["callsignStr"] = "COMIR", ["latitude"] = 8.89222222222222, ["longitude"] = -139.227222222222 },</v>
      </c>
    </row>
    <row r="104" spans="1:8" ht="29.4" hidden="1" thickBot="1" x14ac:dyDescent="0.35">
      <c r="A104" s="4" t="s">
        <v>598</v>
      </c>
      <c r="B104" s="4" t="s">
        <v>394</v>
      </c>
      <c r="C104" s="4" t="s">
        <v>599</v>
      </c>
      <c r="D104" t="str">
        <f t="shared" si="6"/>
        <v>22-22-09.0000N</v>
      </c>
      <c r="E104" t="str">
        <f t="shared" si="7"/>
        <v>156-27-29.0000W</v>
      </c>
      <c r="F104">
        <f t="shared" si="8"/>
        <v>22.369166666666668</v>
      </c>
      <c r="G104">
        <f t="shared" si="9"/>
        <v>-156.45805555555555</v>
      </c>
      <c r="H104" s="3" t="str">
        <f t="shared" si="10"/>
        <v>[290] = {["comment"] = "22-22-09.0000N 156-27-29.0000W", ["callsignStr"] = "CONED", ["latitude"] = 22.3691666666667, ["longitude"] = -156.458055555556 },</v>
      </c>
    </row>
    <row r="105" spans="1:8" ht="29.4" hidden="1" thickBot="1" x14ac:dyDescent="0.35">
      <c r="A105" s="4" t="s">
        <v>600</v>
      </c>
      <c r="B105" s="4" t="s">
        <v>394</v>
      </c>
      <c r="C105" s="4" t="s">
        <v>601</v>
      </c>
      <c r="D105" t="str">
        <f t="shared" si="6"/>
        <v>19-15-33.3300N</v>
      </c>
      <c r="E105" t="str">
        <f t="shared" si="7"/>
        <v>166-45-14.8300E</v>
      </c>
      <c r="F105">
        <f t="shared" si="8"/>
        <v>19.259258333333332</v>
      </c>
      <c r="G105">
        <f t="shared" si="9"/>
        <v>166.75411944444446</v>
      </c>
      <c r="H105" s="3" t="str">
        <f t="shared" si="10"/>
        <v>[291] = {["comment"] = "19-15-33.3300N 166-45-14.8300E", ["callsignStr"] = "CONOP", ["latitude"] = 19.2592583333333, ["longitude"] = 166.754119444444 },</v>
      </c>
    </row>
    <row r="106" spans="1:8" ht="29.4" hidden="1" thickBot="1" x14ac:dyDescent="0.35">
      <c r="A106" s="4" t="s">
        <v>602</v>
      </c>
      <c r="B106" s="4" t="s">
        <v>394</v>
      </c>
      <c r="C106" s="4" t="s">
        <v>603</v>
      </c>
      <c r="D106" t="str">
        <f t="shared" si="6"/>
        <v>30-24-24.0000N</v>
      </c>
      <c r="E106" t="str">
        <f t="shared" si="7"/>
        <v>140-42-00.0000W</v>
      </c>
      <c r="F106">
        <f t="shared" si="8"/>
        <v>30.406666666666666</v>
      </c>
      <c r="G106">
        <f t="shared" si="9"/>
        <v>-140.69999999999999</v>
      </c>
      <c r="H106" s="3" t="str">
        <f t="shared" si="10"/>
        <v>[292] = {["comment"] = "30-24-24.0000N 140-42-00.0000W", ["callsignStr"] = "CORTT", ["latitude"] = 30.4066666666667, ["longitude"] = -140.7 },</v>
      </c>
    </row>
    <row r="107" spans="1:8" ht="15" hidden="1" thickBot="1" x14ac:dyDescent="0.35">
      <c r="A107" s="4" t="s">
        <v>604</v>
      </c>
      <c r="B107" s="4" t="s">
        <v>394</v>
      </c>
      <c r="C107" s="4" t="s">
        <v>605</v>
      </c>
      <c r="D107" t="str">
        <f t="shared" si="6"/>
        <v>09-00-00.0000N</v>
      </c>
      <c r="E107" t="str">
        <f t="shared" si="7"/>
        <v>152-30-00.0000E</v>
      </c>
      <c r="F107">
        <f t="shared" si="8"/>
        <v>9</v>
      </c>
      <c r="G107">
        <f t="shared" si="9"/>
        <v>152.5</v>
      </c>
      <c r="H107" s="3" t="str">
        <f t="shared" si="10"/>
        <v>[293] = {["comment"] = "09-00-00.0000N 152-30-00.0000E", ["callsignStr"] = "COSAT", ["latitude"] = 9, ["longitude"] = 152.5 },</v>
      </c>
    </row>
    <row r="108" spans="1:8" ht="29.4" hidden="1" thickBot="1" x14ac:dyDescent="0.35">
      <c r="A108" s="4" t="s">
        <v>606</v>
      </c>
      <c r="B108" s="4" t="s">
        <v>394</v>
      </c>
      <c r="C108" s="4" t="s">
        <v>607</v>
      </c>
      <c r="D108" t="str">
        <f t="shared" si="6"/>
        <v>07-30-30.0000N</v>
      </c>
      <c r="E108" t="str">
        <f t="shared" si="7"/>
        <v>135-42-03.0000E</v>
      </c>
      <c r="F108">
        <f t="shared" si="8"/>
        <v>7.5083333333333337</v>
      </c>
      <c r="G108">
        <f t="shared" si="9"/>
        <v>135.70083333333332</v>
      </c>
      <c r="H108" s="3" t="str">
        <f t="shared" si="10"/>
        <v>[294] = {["comment"] = "07-30-30.0000N 135-42-03.0000E", ["callsignStr"] = "COTTA", ["latitude"] = 7.50833333333333, ["longitude"] = 135.700833333333 },</v>
      </c>
    </row>
    <row r="109" spans="1:8" ht="29.4" hidden="1" thickBot="1" x14ac:dyDescent="0.35">
      <c r="A109" s="4" t="s">
        <v>608</v>
      </c>
      <c r="B109" s="4" t="s">
        <v>394</v>
      </c>
      <c r="C109" s="4" t="s">
        <v>609</v>
      </c>
      <c r="D109" t="str">
        <f t="shared" si="6"/>
        <v>35-43-54.0000N</v>
      </c>
      <c r="E109" t="str">
        <f t="shared" si="7"/>
        <v>126-05-41.0000W</v>
      </c>
      <c r="F109">
        <f t="shared" si="8"/>
        <v>35.731666666666669</v>
      </c>
      <c r="G109">
        <f t="shared" si="9"/>
        <v>-126.09472222222222</v>
      </c>
      <c r="H109" s="3" t="str">
        <f t="shared" si="10"/>
        <v>[295] = {["comment"] = "35-43-54.0000N 126-05-41.0000W", ["callsignStr"] = "CREAN", ["latitude"] = 35.7316666666667, ["longitude"] = -126.094722222222 },</v>
      </c>
    </row>
    <row r="110" spans="1:8" ht="29.4" hidden="1" thickBot="1" x14ac:dyDescent="0.35">
      <c r="A110" s="4" t="s">
        <v>610</v>
      </c>
      <c r="B110" s="4" t="s">
        <v>394</v>
      </c>
      <c r="C110" s="4" t="s">
        <v>611</v>
      </c>
      <c r="D110" t="str">
        <f t="shared" si="6"/>
        <v>22-12-20.0000N</v>
      </c>
      <c r="E110" t="str">
        <f t="shared" si="7"/>
        <v>163-54-52.0000W</v>
      </c>
      <c r="F110">
        <f t="shared" si="8"/>
        <v>22.205555555555556</v>
      </c>
      <c r="G110">
        <f t="shared" si="9"/>
        <v>-163.91444444444446</v>
      </c>
      <c r="H110" s="3" t="str">
        <f t="shared" si="10"/>
        <v>[296] = {["comment"] = "22-12-20.0000N 163-54-52.0000W", ["callsignStr"] = "CRESP", ["latitude"] = 22.2055555555556, ["longitude"] = -163.914444444444 },</v>
      </c>
    </row>
    <row r="111" spans="1:8" ht="29.4" hidden="1" thickBot="1" x14ac:dyDescent="0.35">
      <c r="A111" s="4" t="s">
        <v>612</v>
      </c>
      <c r="B111" s="4" t="s">
        <v>394</v>
      </c>
      <c r="C111" s="4" t="s">
        <v>613</v>
      </c>
      <c r="D111" t="str">
        <f t="shared" si="6"/>
        <v>10-16-18.0000N</v>
      </c>
      <c r="E111" t="str">
        <f t="shared" si="7"/>
        <v>165-12-15.0000W</v>
      </c>
      <c r="F111">
        <f t="shared" si="8"/>
        <v>10.271666666666668</v>
      </c>
      <c r="G111">
        <f t="shared" si="9"/>
        <v>-165.20416666666665</v>
      </c>
      <c r="H111" s="3" t="str">
        <f t="shared" si="10"/>
        <v>[297] = {["comment"] = "10-16-18.0000N 165-12-15.0000W", ["callsignStr"] = "CROBY", ["latitude"] = 10.2716666666667, ["longitude"] = -165.204166666667 },</v>
      </c>
    </row>
    <row r="112" spans="1:8" ht="29.4" hidden="1" thickBot="1" x14ac:dyDescent="0.35">
      <c r="A112" s="4" t="s">
        <v>614</v>
      </c>
      <c r="B112" s="4" t="s">
        <v>394</v>
      </c>
      <c r="C112" s="4" t="s">
        <v>615</v>
      </c>
      <c r="D112" t="str">
        <f t="shared" si="6"/>
        <v>16-48-15.4600N</v>
      </c>
      <c r="E112" t="str">
        <f t="shared" si="7"/>
        <v>169-21-53.1300W</v>
      </c>
      <c r="F112">
        <f t="shared" si="8"/>
        <v>16.804294444444444</v>
      </c>
      <c r="G112">
        <f t="shared" si="9"/>
        <v>-169.36475833333333</v>
      </c>
      <c r="H112" s="3" t="str">
        <f t="shared" si="10"/>
        <v>[298] = {["comment"] = "16-48-15.4600N 169-21-53.1300W", ["callsignStr"] = "CRONE", ["latitude"] = 16.8042944444444, ["longitude"] = -169.364758333333 },</v>
      </c>
    </row>
    <row r="113" spans="1:8" ht="29.4" hidden="1" thickBot="1" x14ac:dyDescent="0.35">
      <c r="A113" s="4" t="s">
        <v>616</v>
      </c>
      <c r="B113" s="4" t="s">
        <v>394</v>
      </c>
      <c r="C113" s="4" t="s">
        <v>617</v>
      </c>
      <c r="D113" t="str">
        <f t="shared" si="6"/>
        <v>08-45-00.0000N</v>
      </c>
      <c r="E113" t="str">
        <f t="shared" si="7"/>
        <v>138-50-11.0000W</v>
      </c>
      <c r="F113">
        <f t="shared" si="8"/>
        <v>8.75</v>
      </c>
      <c r="G113">
        <f t="shared" si="9"/>
        <v>-138.83638888888891</v>
      </c>
      <c r="H113" s="3" t="str">
        <f t="shared" si="10"/>
        <v>[299] = {["comment"] = "08-45-00.0000N 138-50-11.0000W", ["callsignStr"] = "CRONN", ["latitude"] = 8.75, ["longitude"] = -138.836388888889 },</v>
      </c>
    </row>
    <row r="114" spans="1:8" ht="29.4" hidden="1" thickBot="1" x14ac:dyDescent="0.35">
      <c r="A114" s="4" t="s">
        <v>618</v>
      </c>
      <c r="B114" s="4" t="s">
        <v>394</v>
      </c>
      <c r="C114" s="4" t="s">
        <v>619</v>
      </c>
      <c r="D114" t="str">
        <f t="shared" si="6"/>
        <v>05-00-00.0000S</v>
      </c>
      <c r="E114" t="str">
        <f t="shared" si="7"/>
        <v>174-39-06.0000W</v>
      </c>
      <c r="F114">
        <f t="shared" si="8"/>
        <v>5</v>
      </c>
      <c r="G114">
        <f t="shared" si="9"/>
        <v>-174.65166666666667</v>
      </c>
      <c r="H114" s="3" t="str">
        <f t="shared" si="10"/>
        <v>[300] = {["comment"] = "05-00-00.0000S 174-39-06.0000W", ["callsignStr"] = "CUFFY", ["latitude"] = 5, ["longitude"] = -174.651666666667 },</v>
      </c>
    </row>
    <row r="115" spans="1:8" ht="29.4" hidden="1" thickBot="1" x14ac:dyDescent="0.35">
      <c r="A115" s="4" t="s">
        <v>620</v>
      </c>
      <c r="B115" s="4" t="s">
        <v>394</v>
      </c>
      <c r="C115" s="4" t="s">
        <v>621</v>
      </c>
      <c r="D115" t="str">
        <f t="shared" si="6"/>
        <v>64-13-30.0000N</v>
      </c>
      <c r="E115" t="str">
        <f t="shared" si="7"/>
        <v>168-52-38.0000W</v>
      </c>
      <c r="F115">
        <f t="shared" si="8"/>
        <v>64.225000000000009</v>
      </c>
      <c r="G115">
        <f t="shared" si="9"/>
        <v>-168.87722222222223</v>
      </c>
      <c r="H115" s="3" t="str">
        <f t="shared" si="10"/>
        <v>[301] = {["comment"] = "64-13-30.0000N 168-52-38.0000W", ["callsignStr"] = "CUMNS", ["latitude"] = 64.225, ["longitude"] = -168.877222222222 },</v>
      </c>
    </row>
    <row r="116" spans="1:8" ht="29.4" hidden="1" thickBot="1" x14ac:dyDescent="0.35">
      <c r="A116" s="4" t="s">
        <v>622</v>
      </c>
      <c r="B116" s="4" t="s">
        <v>394</v>
      </c>
      <c r="C116" s="4" t="s">
        <v>623</v>
      </c>
      <c r="D116" t="str">
        <f t="shared" si="6"/>
        <v>33-16-51.0000N</v>
      </c>
      <c r="E116" t="str">
        <f t="shared" si="7"/>
        <v>133-37-22.0000W</v>
      </c>
      <c r="F116">
        <f t="shared" si="8"/>
        <v>33.280833333333334</v>
      </c>
      <c r="G116">
        <f t="shared" si="9"/>
        <v>-133.6227777777778</v>
      </c>
      <c r="H116" s="3" t="str">
        <f t="shared" si="10"/>
        <v>[302] = {["comment"] = "33-16-51.0000N 133-37-22.0000W", ["callsignStr"] = "CUNDU", ["latitude"] = 33.2808333333333, ["longitude"] = -133.622777777778 },</v>
      </c>
    </row>
    <row r="117" spans="1:8" ht="29.4" hidden="1" thickBot="1" x14ac:dyDescent="0.35">
      <c r="A117" s="4" t="s">
        <v>624</v>
      </c>
      <c r="B117" s="4" t="s">
        <v>394</v>
      </c>
      <c r="C117" s="4" t="s">
        <v>625</v>
      </c>
      <c r="D117" t="str">
        <f t="shared" si="6"/>
        <v>08-17-35.0000N</v>
      </c>
      <c r="E117" t="str">
        <f t="shared" si="7"/>
        <v>168-39-08.0000E</v>
      </c>
      <c r="F117">
        <f t="shared" si="8"/>
        <v>8.2930555555555561</v>
      </c>
      <c r="G117">
        <f t="shared" si="9"/>
        <v>168.65222222222224</v>
      </c>
      <c r="H117" s="3" t="str">
        <f t="shared" si="10"/>
        <v>[303] = {["comment"] = "08-17-35.0000N 168-39-08.0000E", ["callsignStr"] = "CURCH", ["latitude"] = 8.29305555555556, ["longitude"] = 168.652222222222 },</v>
      </c>
    </row>
    <row r="118" spans="1:8" ht="29.4" hidden="1" thickBot="1" x14ac:dyDescent="0.35">
      <c r="A118" s="4" t="s">
        <v>626</v>
      </c>
      <c r="B118" s="4" t="s">
        <v>394</v>
      </c>
      <c r="C118" s="4" t="s">
        <v>627</v>
      </c>
      <c r="D118" t="str">
        <f t="shared" si="6"/>
        <v>46-24-54.0000N</v>
      </c>
      <c r="E118" t="str">
        <f t="shared" si="7"/>
        <v>162-18-36.0000E</v>
      </c>
      <c r="F118">
        <f t="shared" si="8"/>
        <v>46.414999999999999</v>
      </c>
      <c r="G118">
        <f t="shared" si="9"/>
        <v>162.31</v>
      </c>
      <c r="H118" s="3" t="str">
        <f t="shared" si="10"/>
        <v>[304] = {["comment"] = "46-24-54.0000N 162-18-36.0000E", ["callsignStr"] = "CUTEE", ["latitude"] = 46.415, ["longitude"] = 162.31 },</v>
      </c>
    </row>
    <row r="119" spans="1:8" ht="29.4" hidden="1" thickBot="1" x14ac:dyDescent="0.35">
      <c r="A119" s="4" t="s">
        <v>628</v>
      </c>
      <c r="B119" s="4" t="s">
        <v>394</v>
      </c>
      <c r="C119" s="4" t="s">
        <v>629</v>
      </c>
      <c r="D119" t="str">
        <f t="shared" si="6"/>
        <v>38-27-59.0000N</v>
      </c>
      <c r="E119" t="str">
        <f t="shared" si="7"/>
        <v>127-00-00.0000W</v>
      </c>
      <c r="F119">
        <f t="shared" si="8"/>
        <v>38.466388888888893</v>
      </c>
      <c r="G119">
        <f t="shared" si="9"/>
        <v>-127</v>
      </c>
      <c r="H119" s="3" t="str">
        <f t="shared" si="10"/>
        <v>[305] = {["comment"] = "38-27-59.0000N 127-00-00.0000W", ["callsignStr"] = "DACEM", ["latitude"] = 38.4663888888889, ["longitude"] = -127 },</v>
      </c>
    </row>
    <row r="120" spans="1:8" ht="29.4" hidden="1" thickBot="1" x14ac:dyDescent="0.35">
      <c r="A120" s="4" t="s">
        <v>630</v>
      </c>
      <c r="B120" s="4" t="s">
        <v>394</v>
      </c>
      <c r="C120" s="4" t="s">
        <v>631</v>
      </c>
      <c r="D120" t="str">
        <f t="shared" si="6"/>
        <v>31-06-11.0000N</v>
      </c>
      <c r="E120" t="str">
        <f t="shared" si="7"/>
        <v>132-08-12.0000W</v>
      </c>
      <c r="F120">
        <f t="shared" si="8"/>
        <v>31.103055555555557</v>
      </c>
      <c r="G120">
        <f t="shared" si="9"/>
        <v>-132.13666666666666</v>
      </c>
      <c r="H120" s="3" t="str">
        <f t="shared" si="10"/>
        <v>[306] = {["comment"] = "31-06-11.0000N 132-08-12.0000W", ["callsignStr"] = "DADIE", ["latitude"] = 31.1030555555556, ["longitude"] = -132.136666666667 },</v>
      </c>
    </row>
    <row r="121" spans="1:8" ht="29.4" hidden="1" thickBot="1" x14ac:dyDescent="0.35">
      <c r="A121" s="4" t="s">
        <v>632</v>
      </c>
      <c r="B121" s="4" t="s">
        <v>394</v>
      </c>
      <c r="C121" s="4" t="s">
        <v>633</v>
      </c>
      <c r="D121" t="str">
        <f t="shared" si="6"/>
        <v>48-03-00.5800N</v>
      </c>
      <c r="E121" t="str">
        <f t="shared" si="7"/>
        <v>126-05-20.6100W</v>
      </c>
      <c r="F121">
        <f t="shared" si="8"/>
        <v>48.050161111111109</v>
      </c>
      <c r="G121">
        <f t="shared" si="9"/>
        <v>-126.08905833333333</v>
      </c>
      <c r="H121" s="3" t="str">
        <f t="shared" si="10"/>
        <v>[307] = {["comment"] = "48-03-00.5800N 126-05-20.6100W", ["callsignStr"] = "DANAC", ["latitude"] = 48.0501611111111, ["longitude"] = -126.089058333333 },</v>
      </c>
    </row>
    <row r="122" spans="1:8" ht="29.4" hidden="1" thickBot="1" x14ac:dyDescent="0.35">
      <c r="A122" s="4" t="s">
        <v>634</v>
      </c>
      <c r="B122" s="4" t="s">
        <v>394</v>
      </c>
      <c r="C122" s="4" t="s">
        <v>635</v>
      </c>
      <c r="D122" t="str">
        <f t="shared" si="6"/>
        <v>23-31-59.6400N</v>
      </c>
      <c r="E122" t="str">
        <f t="shared" si="7"/>
        <v>161-34-54.3600W</v>
      </c>
      <c r="F122">
        <f t="shared" si="8"/>
        <v>23.533233333333332</v>
      </c>
      <c r="G122">
        <f t="shared" si="9"/>
        <v>-161.58176666666665</v>
      </c>
      <c r="H122" s="3" t="str">
        <f t="shared" si="10"/>
        <v>[308] = {["comment"] = "23-31-59.6400N 161-34-54.3600W", ["callsignStr"] = "DANNO", ["latitude"] = 23.5332333333333, ["longitude"] = -161.581766666667 },</v>
      </c>
    </row>
    <row r="123" spans="1:8" ht="29.4" hidden="1" thickBot="1" x14ac:dyDescent="0.35">
      <c r="A123" s="4" t="s">
        <v>636</v>
      </c>
      <c r="B123" s="4" t="s">
        <v>394</v>
      </c>
      <c r="C123" s="4" t="s">
        <v>637</v>
      </c>
      <c r="D123" t="str">
        <f t="shared" si="6"/>
        <v>22-02-25.0000N</v>
      </c>
      <c r="E123" t="str">
        <f t="shared" si="7"/>
        <v>156-21-54.0000W</v>
      </c>
      <c r="F123">
        <f t="shared" si="8"/>
        <v>22.040277777777778</v>
      </c>
      <c r="G123">
        <f t="shared" si="9"/>
        <v>-156.36499999999998</v>
      </c>
      <c r="H123" s="3" t="str">
        <f t="shared" si="10"/>
        <v>[309] = {["comment"] = "22-02-25.0000N 156-21-54.0000W", ["callsignStr"] = "DANYA", ["latitude"] = 22.0402777777778, ["longitude"] = -156.365 },</v>
      </c>
    </row>
    <row r="124" spans="1:8" ht="29.4" hidden="1" thickBot="1" x14ac:dyDescent="0.35">
      <c r="A124" s="4" t="s">
        <v>638</v>
      </c>
      <c r="B124" s="4" t="s">
        <v>394</v>
      </c>
      <c r="C124" s="4" t="s">
        <v>639</v>
      </c>
      <c r="D124" t="str">
        <f t="shared" si="6"/>
        <v>10-12-17.0000N</v>
      </c>
      <c r="E124" t="str">
        <f t="shared" si="7"/>
        <v>162-47-29.0000W</v>
      </c>
      <c r="F124">
        <f t="shared" si="8"/>
        <v>10.204722222222221</v>
      </c>
      <c r="G124">
        <f t="shared" si="9"/>
        <v>-162.79138888888889</v>
      </c>
      <c r="H124" s="3" t="str">
        <f t="shared" si="10"/>
        <v>[310] = {["comment"] = "10-12-17.0000N 162-47-29.0000W", ["callsignStr"] = "DASNE", ["latitude"] = 10.2047222222222, ["longitude"] = -162.791388888889 },</v>
      </c>
    </row>
    <row r="125" spans="1:8" ht="29.4" hidden="1" thickBot="1" x14ac:dyDescent="0.35">
      <c r="A125" s="4" t="s">
        <v>640</v>
      </c>
      <c r="B125" s="4" t="s">
        <v>394</v>
      </c>
      <c r="C125" s="4" t="s">
        <v>641</v>
      </c>
      <c r="D125" t="str">
        <f t="shared" si="6"/>
        <v>17-45-21.0000N</v>
      </c>
      <c r="E125" t="str">
        <f t="shared" si="7"/>
        <v>159-32-20.0000W</v>
      </c>
      <c r="F125">
        <f t="shared" si="8"/>
        <v>17.755833333333332</v>
      </c>
      <c r="G125">
        <f t="shared" si="9"/>
        <v>-159.53888888888889</v>
      </c>
      <c r="H125" s="3" t="str">
        <f t="shared" si="10"/>
        <v>[311] = {["comment"] = "17-45-21.0000N 159-32-20.0000W", ["callsignStr"] = "DATBE", ["latitude"] = 17.7558333333333, ["longitude"] = -159.538888888889 },</v>
      </c>
    </row>
    <row r="126" spans="1:8" ht="29.4" hidden="1" thickBot="1" x14ac:dyDescent="0.35">
      <c r="A126" s="4" t="s">
        <v>642</v>
      </c>
      <c r="B126" s="4" t="s">
        <v>394</v>
      </c>
      <c r="C126" s="4" t="s">
        <v>643</v>
      </c>
      <c r="D126" t="str">
        <f t="shared" si="6"/>
        <v>88-52-01.0100N</v>
      </c>
      <c r="E126" t="str">
        <f t="shared" si="7"/>
        <v>141-00-00.0000W</v>
      </c>
      <c r="F126">
        <f t="shared" si="8"/>
        <v>88.866947222222223</v>
      </c>
      <c r="G126">
        <f t="shared" si="9"/>
        <v>-141</v>
      </c>
      <c r="H126" s="3" t="str">
        <f t="shared" si="10"/>
        <v>[312] = {["comment"] = "88-52-01.0100N 141-00-00.0000W", ["callsignStr"] = "DEKMO", ["latitude"] = 88.8669472222222, ["longitude"] = -141 },</v>
      </c>
    </row>
    <row r="127" spans="1:8" ht="29.4" hidden="1" thickBot="1" x14ac:dyDescent="0.35">
      <c r="A127" s="4" t="s">
        <v>644</v>
      </c>
      <c r="B127" s="4" t="s">
        <v>394</v>
      </c>
      <c r="C127" s="4" t="s">
        <v>645</v>
      </c>
      <c r="D127" t="str">
        <f t="shared" si="6"/>
        <v>21-57-08.0000N</v>
      </c>
      <c r="E127" t="str">
        <f t="shared" si="7"/>
        <v>154-35-51.0000W</v>
      </c>
      <c r="F127">
        <f t="shared" si="8"/>
        <v>21.952222222222222</v>
      </c>
      <c r="G127">
        <f t="shared" si="9"/>
        <v>-154.5975</v>
      </c>
      <c r="H127" s="3" t="str">
        <f t="shared" si="10"/>
        <v>[313] = {["comment"] = "21-57-08.0000N 154-35-51.0000W", ["callsignStr"] = "DEKUM", ["latitude"] = 21.9522222222222, ["longitude"] = -154.5975 },</v>
      </c>
    </row>
    <row r="128" spans="1:8" ht="29.4" hidden="1" thickBot="1" x14ac:dyDescent="0.35">
      <c r="A128" s="4" t="s">
        <v>646</v>
      </c>
      <c r="B128" s="4" t="s">
        <v>394</v>
      </c>
      <c r="C128" s="4" t="s">
        <v>647</v>
      </c>
      <c r="D128" t="str">
        <f t="shared" si="6"/>
        <v>22-21-48.2400N</v>
      </c>
      <c r="E128" t="str">
        <f t="shared" si="7"/>
        <v>153-52-50.1000W</v>
      </c>
      <c r="F128">
        <f t="shared" si="8"/>
        <v>22.363400000000002</v>
      </c>
      <c r="G128">
        <f t="shared" si="9"/>
        <v>-153.88058333333333</v>
      </c>
      <c r="H128" s="3" t="str">
        <f t="shared" si="10"/>
        <v>[314] = {["comment"] = "MKK*C*056.64/197.65 ITO*C*010.68/170.21 OGG*C*047.01/166.58 22-21-48.2400N 153-52-50.1000W", ["callsignStr"] = "DENNS", ["latitude"] = 22.3634, ["longitude"] = -153.880583333333 },</v>
      </c>
    </row>
    <row r="129" spans="1:8" ht="29.4" hidden="1" thickBot="1" x14ac:dyDescent="0.35">
      <c r="A129" s="4" t="s">
        <v>648</v>
      </c>
      <c r="B129" s="4" t="s">
        <v>394</v>
      </c>
      <c r="C129" s="4" t="s">
        <v>649</v>
      </c>
      <c r="D129" t="str">
        <f t="shared" si="6"/>
        <v>27-00-00.0000N</v>
      </c>
      <c r="E129" t="str">
        <f t="shared" si="7"/>
        <v>161-04-50.0000E</v>
      </c>
      <c r="F129">
        <f t="shared" si="8"/>
        <v>27</v>
      </c>
      <c r="G129">
        <f t="shared" si="9"/>
        <v>161.08055555555555</v>
      </c>
      <c r="H129" s="3" t="str">
        <f t="shared" si="10"/>
        <v>[315] = {["comment"] = "27-00-00.0000N 161-04-50.0000E", ["callsignStr"] = "DEWOP", ["latitude"] = 27, ["longitude"] = 161.080555555556 },</v>
      </c>
    </row>
    <row r="130" spans="1:8" ht="29.4" thickBot="1" x14ac:dyDescent="0.35">
      <c r="A130" s="4" t="s">
        <v>650</v>
      </c>
      <c r="B130" s="4" t="s">
        <v>394</v>
      </c>
      <c r="C130" s="4" t="s">
        <v>651</v>
      </c>
      <c r="D130" t="str">
        <f t="shared" si="6"/>
        <v>14-52-30.0000N</v>
      </c>
      <c r="E130" t="str">
        <f t="shared" si="7"/>
        <v>148-58-54.0000E</v>
      </c>
      <c r="F130">
        <f t="shared" si="8"/>
        <v>14.875</v>
      </c>
      <c r="G130">
        <f t="shared" si="9"/>
        <v>148.98166666666665</v>
      </c>
      <c r="H130" s="3" t="str">
        <f t="shared" si="10"/>
        <v>[316] = {["comment"] = "14-52-30.0000N 148-58-54.0000E", ["callsignStr"] = "DEWSS", ["latitude"] = 14.875, ["longitude"] = 148.981666666667 },</v>
      </c>
    </row>
    <row r="131" spans="1:8" ht="29.4" hidden="1" thickBot="1" x14ac:dyDescent="0.35">
      <c r="A131" s="4" t="s">
        <v>652</v>
      </c>
      <c r="B131" s="4" t="s">
        <v>394</v>
      </c>
      <c r="C131" s="4" t="s">
        <v>653</v>
      </c>
      <c r="D131" t="str">
        <f t="shared" ref="D131:D194" si="11">findLatitude(C131)</f>
        <v>28-42-06.0000N</v>
      </c>
      <c r="E131" t="str">
        <f t="shared" ref="E131:E194" si="12">findLongitude(C131)</f>
        <v>139-25-36.0000W</v>
      </c>
      <c r="F131">
        <f t="shared" ref="F131:F194" si="13">VALUE(MID(D131,1,2))+VALUE(MID(D131,4,2))/60+VALUE(MID(D131,7,7))/(1*3600)</f>
        <v>28.701666666666664</v>
      </c>
      <c r="G131">
        <f t="shared" ref="G131:G194" si="14">(VALUE(MID(E131,1,3))+VALUE(MID(E131,5,2))/60+VALUE(MID(E131,8,7))/(1*3600))*IF(MID(E131,15,1)="E",1,-1)</f>
        <v>-139.42666666666665</v>
      </c>
      <c r="H131" s="3" t="str">
        <f t="shared" ref="H131:H194" si="15">CONCATENATE("[",ROW()+$H$1-1,"] = {","[""comment""] = """,C131,""", ","[""callsignStr""] = """,A131,""", ","[""latitude""] = ",F131,", ","[""longitude""] = ",G131," },")</f>
        <v>[317] = {["comment"] = "28-42-06.0000N 139-25-36.0000W", ["callsignStr"] = "DIALO", ["latitude"] = 28.7016666666667, ["longitude"] = -139.426666666667 },</v>
      </c>
    </row>
    <row r="132" spans="1:8" ht="29.4" hidden="1" thickBot="1" x14ac:dyDescent="0.35">
      <c r="A132" s="4" t="s">
        <v>654</v>
      </c>
      <c r="B132" s="4" t="s">
        <v>394</v>
      </c>
      <c r="C132" s="4" t="s">
        <v>655</v>
      </c>
      <c r="D132" t="str">
        <f t="shared" si="11"/>
        <v>16-39-12.7600N</v>
      </c>
      <c r="E132" t="str">
        <f t="shared" si="12"/>
        <v>169-42-13.4500W</v>
      </c>
      <c r="F132">
        <f t="shared" si="13"/>
        <v>16.653544444444442</v>
      </c>
      <c r="G132">
        <f t="shared" si="14"/>
        <v>-169.70373611111111</v>
      </c>
      <c r="H132" s="3" t="str">
        <f t="shared" si="15"/>
        <v>[318] = {["comment"] = "16-39-12.7600N 169-42-13.4500W", ["callsignStr"] = "DIFFY", ["latitude"] = 16.6535444444444, ["longitude"] = -169.703736111111 },</v>
      </c>
    </row>
    <row r="133" spans="1:8" ht="29.4" hidden="1" thickBot="1" x14ac:dyDescent="0.35">
      <c r="A133" s="4" t="s">
        <v>656</v>
      </c>
      <c r="B133" s="4" t="s">
        <v>394</v>
      </c>
      <c r="C133" s="4" t="s">
        <v>657</v>
      </c>
      <c r="D133" t="str">
        <f t="shared" si="11"/>
        <v>10-01-56.0000N</v>
      </c>
      <c r="E133" t="str">
        <f t="shared" si="12"/>
        <v>139-54-15.0000E</v>
      </c>
      <c r="F133">
        <f t="shared" si="13"/>
        <v>10.032222222222224</v>
      </c>
      <c r="G133">
        <f t="shared" si="14"/>
        <v>139.90416666666667</v>
      </c>
      <c r="H133" s="3" t="str">
        <f t="shared" si="15"/>
        <v>[319] = {["comment"] = "10-01-56.0000N 139-54-15.0000E", ["callsignStr"] = "DIKEC", ["latitude"] = 10.0322222222222, ["longitude"] = 139.904166666667 },</v>
      </c>
    </row>
    <row r="134" spans="1:8" ht="29.4" hidden="1" thickBot="1" x14ac:dyDescent="0.35">
      <c r="A134" s="4" t="s">
        <v>658</v>
      </c>
      <c r="B134" s="4" t="s">
        <v>394</v>
      </c>
      <c r="C134" s="4" t="s">
        <v>659</v>
      </c>
      <c r="D134" t="str">
        <f t="shared" si="11"/>
        <v>33-28-58.4900N</v>
      </c>
      <c r="E134" t="str">
        <f t="shared" si="12"/>
        <v>122-35-02.3800W</v>
      </c>
      <c r="F134">
        <f t="shared" si="13"/>
        <v>33.482913888888888</v>
      </c>
      <c r="G134">
        <f t="shared" si="14"/>
        <v>-122.58399444444444</v>
      </c>
      <c r="H134" s="3" t="str">
        <f t="shared" si="15"/>
        <v>[320] = {["comment"] = "RZS*C*233.13/153.20 33-28-58.4900N 122-35-02.3800W", ["callsignStr"] = "DINTY", ["latitude"] = 33.4829138888889, ["longitude"] = -122.583994444444 },</v>
      </c>
    </row>
    <row r="135" spans="1:8" ht="29.4" hidden="1" thickBot="1" x14ac:dyDescent="0.35">
      <c r="A135" s="4" t="s">
        <v>660</v>
      </c>
      <c r="B135" s="4" t="s">
        <v>394</v>
      </c>
      <c r="C135" s="4" t="s">
        <v>661</v>
      </c>
      <c r="D135" t="str">
        <f t="shared" si="11"/>
        <v>21-51-50.7800N</v>
      </c>
      <c r="E135" t="str">
        <f t="shared" si="12"/>
        <v>156-17-21.7300W</v>
      </c>
      <c r="F135">
        <f t="shared" si="13"/>
        <v>21.864105555555557</v>
      </c>
      <c r="G135">
        <f t="shared" si="14"/>
        <v>-156.28936944444445</v>
      </c>
      <c r="H135" s="3" t="str">
        <f t="shared" si="15"/>
        <v>[321] = {["comment"] = "21-51-50.7800N 156-17-21.7300W", ["callsignStr"] = "DLIMA", ["latitude"] = 21.8641055555556, ["longitude"] = -156.289369444444 },</v>
      </c>
    </row>
    <row r="136" spans="1:8" ht="29.4" hidden="1" thickBot="1" x14ac:dyDescent="0.35">
      <c r="A136" s="4" t="s">
        <v>662</v>
      </c>
      <c r="B136" s="4" t="s">
        <v>394</v>
      </c>
      <c r="C136" s="4" t="s">
        <v>663</v>
      </c>
      <c r="D136" t="str">
        <f t="shared" si="11"/>
        <v>23-15-30.0000N</v>
      </c>
      <c r="E136" t="str">
        <f t="shared" si="12"/>
        <v>163-51-18.0000W</v>
      </c>
      <c r="F136">
        <f t="shared" si="13"/>
        <v>23.258333333333333</v>
      </c>
      <c r="G136">
        <f t="shared" si="14"/>
        <v>-163.85499999999999</v>
      </c>
      <c r="H136" s="3" t="str">
        <f t="shared" si="15"/>
        <v>[322] = {["comment"] = "23-15-30.0000N 163-51-18.0000W", ["callsignStr"] = "DOGIF", ["latitude"] = 23.2583333333333, ["longitude"] = -163.855 },</v>
      </c>
    </row>
    <row r="137" spans="1:8" ht="29.4" hidden="1" thickBot="1" x14ac:dyDescent="0.35">
      <c r="A137" s="4" t="s">
        <v>664</v>
      </c>
      <c r="B137" s="4" t="s">
        <v>394</v>
      </c>
      <c r="C137" s="4" t="s">
        <v>665</v>
      </c>
      <c r="D137" t="str">
        <f t="shared" si="11"/>
        <v>00-00-00.0000N</v>
      </c>
      <c r="E137" t="str">
        <f t="shared" si="12"/>
        <v>156-50-00.0000E</v>
      </c>
      <c r="F137">
        <f t="shared" si="13"/>
        <v>0</v>
      </c>
      <c r="G137">
        <f t="shared" si="14"/>
        <v>156.83333333333334</v>
      </c>
      <c r="H137" s="3" t="str">
        <f t="shared" si="15"/>
        <v>[323] = {["comment"] = "00-00-00.0000N 156-50-00.0000E", ["callsignStr"] = "DOHRT", ["latitude"] = 0, ["longitude"] = 156.833333333333 },</v>
      </c>
    </row>
    <row r="138" spans="1:8" ht="29.4" hidden="1" thickBot="1" x14ac:dyDescent="0.35">
      <c r="A138" s="4" t="s">
        <v>666</v>
      </c>
      <c r="B138" s="4" t="s">
        <v>394</v>
      </c>
      <c r="C138" s="4" t="s">
        <v>667</v>
      </c>
      <c r="D138" t="str">
        <f t="shared" si="11"/>
        <v>09-38-41.0000N</v>
      </c>
      <c r="E138" t="str">
        <f t="shared" si="12"/>
        <v>139-14-05.0000E</v>
      </c>
      <c r="F138">
        <f t="shared" si="13"/>
        <v>9.6447222222222209</v>
      </c>
      <c r="G138">
        <f t="shared" si="14"/>
        <v>139.23472222222222</v>
      </c>
      <c r="H138" s="3" t="str">
        <f t="shared" si="15"/>
        <v>[324] = {["comment"] = "09-38-41.0000N 139-14-05.0000E", ["callsignStr"] = "DOUKE", ["latitude"] = 9.64472222222222, ["longitude"] = 139.234722222222 },</v>
      </c>
    </row>
    <row r="139" spans="1:8" ht="29.4" hidden="1" thickBot="1" x14ac:dyDescent="0.35">
      <c r="A139" s="4" t="s">
        <v>668</v>
      </c>
      <c r="B139" s="4" t="s">
        <v>394</v>
      </c>
      <c r="C139" s="4" t="s">
        <v>669</v>
      </c>
      <c r="D139" t="str">
        <f t="shared" si="11"/>
        <v>18-43-00.0000N</v>
      </c>
      <c r="E139" t="str">
        <f t="shared" si="12"/>
        <v>157-40-00.0000W</v>
      </c>
      <c r="F139">
        <f t="shared" si="13"/>
        <v>18.716666666666665</v>
      </c>
      <c r="G139">
        <f t="shared" si="14"/>
        <v>-157.66666666666666</v>
      </c>
      <c r="H139" s="3" t="str">
        <f t="shared" si="15"/>
        <v>[325] = {["comment"] = "HNL*C*163.46/155.63 MKK*C*180.12/147.47 18-43-00.0000N 157-40-00.0000W", ["callsignStr"] = "DOVRR", ["latitude"] = 18.7166666666667, ["longitude"] = -157.666666666667 },</v>
      </c>
    </row>
    <row r="140" spans="1:8" ht="29.4" hidden="1" thickBot="1" x14ac:dyDescent="0.35">
      <c r="A140" s="4" t="s">
        <v>670</v>
      </c>
      <c r="B140" s="4" t="s">
        <v>394</v>
      </c>
      <c r="C140" s="4" t="s">
        <v>671</v>
      </c>
      <c r="D140" t="str">
        <f t="shared" si="11"/>
        <v>23-01-27.0000N</v>
      </c>
      <c r="E140" t="str">
        <f t="shared" si="12"/>
        <v>152-34-40.0000W</v>
      </c>
      <c r="F140">
        <f t="shared" si="13"/>
        <v>23.024166666666666</v>
      </c>
      <c r="G140">
        <f t="shared" si="14"/>
        <v>-152.57777777777778</v>
      </c>
      <c r="H140" s="3" t="str">
        <f t="shared" si="15"/>
        <v>[326] = {["comment"] = "23-01-27.0000N 152-34-40.0000W", ["callsignStr"] = "DRAYK", ["latitude"] = 23.0241666666667, ["longitude"] = -152.577777777778 },</v>
      </c>
    </row>
    <row r="141" spans="1:8" ht="29.4" hidden="1" thickBot="1" x14ac:dyDescent="0.35">
      <c r="A141" s="4" t="s">
        <v>672</v>
      </c>
      <c r="B141" s="4" t="s">
        <v>394</v>
      </c>
      <c r="C141" s="4" t="s">
        <v>673</v>
      </c>
      <c r="D141" t="str">
        <f t="shared" si="11"/>
        <v>10-26-38.0000N</v>
      </c>
      <c r="E141" t="str">
        <f t="shared" si="12"/>
        <v>138-44-01.0000E</v>
      </c>
      <c r="F141">
        <f t="shared" si="13"/>
        <v>10.443888888888889</v>
      </c>
      <c r="G141">
        <f t="shared" si="14"/>
        <v>138.73361111111109</v>
      </c>
      <c r="H141" s="3" t="str">
        <f t="shared" si="15"/>
        <v>[327] = {["comment"] = "10-26-38.0000N 138-44-01.0000E", ["callsignStr"] = "DRIPY", ["latitude"] = 10.4438888888889, ["longitude"] = 138.733611111111 },</v>
      </c>
    </row>
    <row r="142" spans="1:8" ht="29.4" hidden="1" thickBot="1" x14ac:dyDescent="0.35">
      <c r="A142" s="4" t="s">
        <v>674</v>
      </c>
      <c r="B142" s="4" t="s">
        <v>394</v>
      </c>
      <c r="C142" s="4" t="s">
        <v>675</v>
      </c>
      <c r="D142" t="str">
        <f t="shared" si="11"/>
        <v>33-04-10.7600N</v>
      </c>
      <c r="E142" t="str">
        <f t="shared" si="12"/>
        <v>124-31-06.4800W</v>
      </c>
      <c r="F142">
        <f t="shared" si="13"/>
        <v>33.069655555555556</v>
      </c>
      <c r="G142">
        <f t="shared" si="14"/>
        <v>-124.51846666666667</v>
      </c>
      <c r="H142" s="3" t="str">
        <f t="shared" si="15"/>
        <v>[328] = {["comment"] = "33-04-10.7600N 124-31-06.4800W", ["callsignStr"] = "DUETS", ["latitude"] = 33.0696555555556, ["longitude"] = -124.518466666667 },</v>
      </c>
    </row>
    <row r="143" spans="1:8" ht="29.4" hidden="1" thickBot="1" x14ac:dyDescent="0.35">
      <c r="A143" s="4" t="s">
        <v>676</v>
      </c>
      <c r="B143" s="4" t="s">
        <v>394</v>
      </c>
      <c r="C143" s="4" t="s">
        <v>677</v>
      </c>
      <c r="D143" t="str">
        <f t="shared" si="11"/>
        <v>02-36-39.0000N</v>
      </c>
      <c r="E143" t="str">
        <f t="shared" si="12"/>
        <v>165-53-49.0000W</v>
      </c>
      <c r="F143">
        <f t="shared" si="13"/>
        <v>2.6108333333333333</v>
      </c>
      <c r="G143">
        <f t="shared" si="14"/>
        <v>-165.89694444444444</v>
      </c>
      <c r="H143" s="3" t="str">
        <f t="shared" si="15"/>
        <v>[329] = {["comment"] = "02-36-39.0000N 165-53-49.0000W", ["callsignStr"] = "DULCE", ["latitude"] = 2.61083333333333, ["longitude"] = -165.896944444444 },</v>
      </c>
    </row>
    <row r="144" spans="1:8" ht="29.4" hidden="1" thickBot="1" x14ac:dyDescent="0.35">
      <c r="A144" s="4" t="s">
        <v>678</v>
      </c>
      <c r="B144" s="4" t="s">
        <v>394</v>
      </c>
      <c r="C144" s="4" t="s">
        <v>679</v>
      </c>
      <c r="D144" t="str">
        <f t="shared" si="11"/>
        <v>05-00-00.0000S</v>
      </c>
      <c r="E144" t="str">
        <f t="shared" si="12"/>
        <v>168-58-06.0000W</v>
      </c>
      <c r="F144">
        <f t="shared" si="13"/>
        <v>5</v>
      </c>
      <c r="G144">
        <f t="shared" si="14"/>
        <v>-168.96833333333333</v>
      </c>
      <c r="H144" s="3" t="str">
        <f t="shared" si="15"/>
        <v>[330] = {["comment"] = "05-00-00.0000S 168-58-06.0000W", ["callsignStr"] = "DUNEY", ["latitude"] = 5, ["longitude"] = -168.968333333333 },</v>
      </c>
    </row>
    <row r="145" spans="1:8" ht="29.4" hidden="1" thickBot="1" x14ac:dyDescent="0.35">
      <c r="A145" s="4" t="s">
        <v>680</v>
      </c>
      <c r="B145" s="4" t="s">
        <v>394</v>
      </c>
      <c r="C145" s="4" t="s">
        <v>681</v>
      </c>
      <c r="D145" t="str">
        <f t="shared" si="11"/>
        <v>10-50-30.0000N</v>
      </c>
      <c r="E145" t="str">
        <f t="shared" si="12"/>
        <v>139-25-14.0000E</v>
      </c>
      <c r="F145">
        <f t="shared" si="13"/>
        <v>10.841666666666667</v>
      </c>
      <c r="G145">
        <f t="shared" si="14"/>
        <v>139.42055555555555</v>
      </c>
      <c r="H145" s="3" t="str">
        <f t="shared" si="15"/>
        <v>[331] = {["comment"] = "10-50-30.0000N 139-25-14.0000E", ["callsignStr"] = "DUNSS", ["latitude"] = 10.8416666666667, ["longitude"] = 139.420555555556 },</v>
      </c>
    </row>
    <row r="146" spans="1:8" ht="29.4" hidden="1" thickBot="1" x14ac:dyDescent="0.35">
      <c r="A146" s="4" t="s">
        <v>682</v>
      </c>
      <c r="B146" s="4" t="s">
        <v>394</v>
      </c>
      <c r="C146" s="4" t="s">
        <v>683</v>
      </c>
      <c r="D146" t="str">
        <f t="shared" si="11"/>
        <v>32-35-27.0000N</v>
      </c>
      <c r="E146" t="str">
        <f t="shared" si="12"/>
        <v>119-43-12.0000W</v>
      </c>
      <c r="F146">
        <f t="shared" si="13"/>
        <v>32.590833333333336</v>
      </c>
      <c r="G146">
        <f t="shared" si="14"/>
        <v>-119.72</v>
      </c>
      <c r="H146" s="3" t="str">
        <f t="shared" si="15"/>
        <v>[332] = {["comment"] = "32-35-27.0000N 119-43-12.0000W", ["callsignStr"] = "DUNZL", ["latitude"] = 32.5908333333333, ["longitude"] = -119.72 },</v>
      </c>
    </row>
    <row r="147" spans="1:8" ht="29.4" hidden="1" thickBot="1" x14ac:dyDescent="0.35">
      <c r="A147" s="4" t="s">
        <v>684</v>
      </c>
      <c r="B147" s="4" t="s">
        <v>394</v>
      </c>
      <c r="C147" s="4" t="s">
        <v>685</v>
      </c>
      <c r="D147" t="str">
        <f t="shared" si="11"/>
        <v>19-19-33.6600N</v>
      </c>
      <c r="E147" t="str">
        <f t="shared" si="12"/>
        <v>166-24-56.2900E</v>
      </c>
      <c r="F147">
        <f t="shared" si="13"/>
        <v>19.326016666666668</v>
      </c>
      <c r="G147">
        <f t="shared" si="14"/>
        <v>166.41563611111113</v>
      </c>
      <c r="H147" s="3" t="str">
        <f t="shared" si="15"/>
        <v>[333] = {["comment"] = "19-19-33.6600N 166-24-56.2900E", ["callsignStr"] = "DUPUF", ["latitude"] = 19.3260166666667, ["longitude"] = 166.415636111111 },</v>
      </c>
    </row>
    <row r="148" spans="1:8" ht="29.4" hidden="1" thickBot="1" x14ac:dyDescent="0.35">
      <c r="A148" s="4" t="s">
        <v>686</v>
      </c>
      <c r="B148" s="4" t="s">
        <v>394</v>
      </c>
      <c r="C148" s="4" t="s">
        <v>687</v>
      </c>
      <c r="D148" t="str">
        <f t="shared" si="11"/>
        <v>26-00-22.0000N</v>
      </c>
      <c r="E148" t="str">
        <f t="shared" si="12"/>
        <v>146-10-03.0000W</v>
      </c>
      <c r="F148">
        <f t="shared" si="13"/>
        <v>26.00611111111111</v>
      </c>
      <c r="G148">
        <f t="shared" si="14"/>
        <v>-146.16749999999999</v>
      </c>
      <c r="H148" s="3" t="str">
        <f t="shared" si="15"/>
        <v>[334] = {["comment"] = "26-00-22.0000N 146-10-03.0000W", ["callsignStr"] = "DUSAC", ["latitude"] = 26.0061111111111, ["longitude"] = -146.1675 },</v>
      </c>
    </row>
    <row r="149" spans="1:8" ht="29.4" hidden="1" thickBot="1" x14ac:dyDescent="0.35">
      <c r="A149" s="4" t="s">
        <v>688</v>
      </c>
      <c r="B149" s="4" t="s">
        <v>394</v>
      </c>
      <c r="C149" s="4" t="s">
        <v>689</v>
      </c>
      <c r="D149" t="str">
        <f t="shared" si="11"/>
        <v>20-55-54.7300N</v>
      </c>
      <c r="E149" t="str">
        <f t="shared" si="12"/>
        <v>157-29-18.4800W</v>
      </c>
      <c r="F149">
        <f t="shared" si="13"/>
        <v>20.931869444444445</v>
      </c>
      <c r="G149">
        <f t="shared" si="14"/>
        <v>-157.48846666666665</v>
      </c>
      <c r="H149" s="3" t="str">
        <f t="shared" si="15"/>
        <v>[335] = {["comment"] = "20-55-54.7300N 157-29-18.4800W", ["callsignStr"] = "DYLLI", ["latitude"] = 20.9318694444444, ["longitude"] = -157.488466666667 },</v>
      </c>
    </row>
    <row r="150" spans="1:8" ht="29.4" hidden="1" thickBot="1" x14ac:dyDescent="0.35">
      <c r="A150" s="4" t="s">
        <v>690</v>
      </c>
      <c r="B150" s="4" t="s">
        <v>394</v>
      </c>
      <c r="C150" s="4" t="s">
        <v>691</v>
      </c>
      <c r="D150" t="str">
        <f t="shared" si="11"/>
        <v>21-42-48.3600N</v>
      </c>
      <c r="E150" t="str">
        <f t="shared" si="12"/>
        <v>153-08-50.2200W</v>
      </c>
      <c r="F150">
        <f t="shared" si="13"/>
        <v>21.713433333333331</v>
      </c>
      <c r="G150">
        <f t="shared" si="14"/>
        <v>-153.14728333333332</v>
      </c>
      <c r="H150" s="3" t="str">
        <f t="shared" si="15"/>
        <v>[336] = {["comment"] = "UPP*C*047.67/176.35 ITO*C*030.03/158.64 21-42-48.3600N 153-08-50.2200W", ["callsignStr"] = "EBBER", ["latitude"] = 21.7134333333333, ["longitude"] = -153.147283333333 },</v>
      </c>
    </row>
    <row r="151" spans="1:8" ht="29.4" hidden="1" thickBot="1" x14ac:dyDescent="0.35">
      <c r="A151" s="4" t="s">
        <v>692</v>
      </c>
      <c r="B151" s="4" t="s">
        <v>394</v>
      </c>
      <c r="C151" s="4" t="s">
        <v>693</v>
      </c>
      <c r="D151" t="str">
        <f t="shared" si="11"/>
        <v>02-35-11.0000N</v>
      </c>
      <c r="E151" t="str">
        <f t="shared" si="12"/>
        <v>164-37-19.0000W</v>
      </c>
      <c r="F151">
        <f t="shared" si="13"/>
        <v>2.5863888888888891</v>
      </c>
      <c r="G151">
        <f t="shared" si="14"/>
        <v>-164.62194444444447</v>
      </c>
      <c r="H151" s="3" t="str">
        <f t="shared" si="15"/>
        <v>[337] = {["comment"] = "02-35-11.0000N 164-37-19.0000W", ["callsignStr"] = "EBEBE", ["latitude"] = 2.58638888888889, ["longitude"] = -164.621944444444 },</v>
      </c>
    </row>
    <row r="152" spans="1:8" ht="29.4" hidden="1" thickBot="1" x14ac:dyDescent="0.35">
      <c r="A152" s="4" t="s">
        <v>694</v>
      </c>
      <c r="B152" s="4" t="s">
        <v>394</v>
      </c>
      <c r="C152" s="4" t="s">
        <v>695</v>
      </c>
      <c r="D152" t="str">
        <f t="shared" si="11"/>
        <v>24-10-08.0000N</v>
      </c>
      <c r="E152" t="str">
        <f t="shared" si="12"/>
        <v>163-15-59.0000W</v>
      </c>
      <c r="F152">
        <f t="shared" si="13"/>
        <v>24.16888888888889</v>
      </c>
      <c r="G152">
        <f t="shared" si="14"/>
        <v>-163.26638888888888</v>
      </c>
      <c r="H152" s="3" t="str">
        <f t="shared" si="15"/>
        <v>[338] = {["comment"] = "24-10-08.0000N 163-15-59.0000W", ["callsignStr"] = "ECEDO", ["latitude"] = 24.1688888888889, ["longitude"] = -163.266388888889 },</v>
      </c>
    </row>
    <row r="153" spans="1:8" ht="15" hidden="1" thickBot="1" x14ac:dyDescent="0.35">
      <c r="A153" s="4" t="s">
        <v>696</v>
      </c>
      <c r="B153" s="4" t="s">
        <v>394</v>
      </c>
      <c r="C153" s="4" t="s">
        <v>697</v>
      </c>
      <c r="D153" t="str">
        <f t="shared" si="11"/>
        <v>57-00-00.0000N</v>
      </c>
      <c r="E153" t="str">
        <f t="shared" si="12"/>
        <v>180-00-00.0000E</v>
      </c>
      <c r="F153">
        <f t="shared" si="13"/>
        <v>57</v>
      </c>
      <c r="G153">
        <f t="shared" si="14"/>
        <v>180</v>
      </c>
      <c r="H153" s="3" t="str">
        <f t="shared" si="15"/>
        <v>[339] = {["comment"] = "57-00-00.0000N 180-00-00.0000E", ["callsignStr"] = "ECOMI", ["latitude"] = 57, ["longitude"] = 180 },</v>
      </c>
    </row>
    <row r="154" spans="1:8" ht="29.4" hidden="1" thickBot="1" x14ac:dyDescent="0.35">
      <c r="A154" s="4" t="s">
        <v>698</v>
      </c>
      <c r="B154" s="4" t="s">
        <v>394</v>
      </c>
      <c r="C154" s="4" t="s">
        <v>699</v>
      </c>
      <c r="D154" t="str">
        <f t="shared" si="11"/>
        <v>08-44-36.0000N</v>
      </c>
      <c r="E154" t="str">
        <f t="shared" si="12"/>
        <v>149-39-31.0000E</v>
      </c>
      <c r="F154">
        <f t="shared" si="13"/>
        <v>8.7433333333333323</v>
      </c>
      <c r="G154">
        <f t="shared" si="14"/>
        <v>149.65861111111113</v>
      </c>
      <c r="H154" s="3" t="str">
        <f t="shared" si="15"/>
        <v>[340] = {["comment"] = "08-44-36.0000N 149-39-31.0000E", ["callsignStr"] = "EDIME", ["latitude"] = 8.74333333333333, ["longitude"] = 149.658611111111 },</v>
      </c>
    </row>
    <row r="155" spans="1:8" ht="29.4" hidden="1" thickBot="1" x14ac:dyDescent="0.35">
      <c r="A155" s="4" t="s">
        <v>700</v>
      </c>
      <c r="B155" s="4" t="s">
        <v>394</v>
      </c>
      <c r="C155" s="4" t="s">
        <v>701</v>
      </c>
      <c r="D155" t="str">
        <f t="shared" si="11"/>
        <v>09-26-58.0000N</v>
      </c>
      <c r="E155" t="str">
        <f t="shared" si="12"/>
        <v>150-17-05.0000E</v>
      </c>
      <c r="F155">
        <f t="shared" si="13"/>
        <v>9.4494444444444454</v>
      </c>
      <c r="G155">
        <f t="shared" si="14"/>
        <v>150.28472222222223</v>
      </c>
      <c r="H155" s="3" t="str">
        <f t="shared" si="15"/>
        <v>[341] = {["comment"] = "09-26-58.0000N 150-17-05.0000E", ["callsignStr"] = "EDOYO", ["latitude"] = 9.44944444444445, ["longitude"] = 150.284722222222 },</v>
      </c>
    </row>
    <row r="156" spans="1:8" ht="29.4" hidden="1" thickBot="1" x14ac:dyDescent="0.35">
      <c r="A156" s="4" t="s">
        <v>702</v>
      </c>
      <c r="B156" s="4" t="s">
        <v>394</v>
      </c>
      <c r="C156" s="4" t="s">
        <v>703</v>
      </c>
      <c r="D156" t="str">
        <f t="shared" si="11"/>
        <v>32-14-32.4300N</v>
      </c>
      <c r="E156" t="str">
        <f t="shared" si="12"/>
        <v>124-05-54.8700W</v>
      </c>
      <c r="F156">
        <f t="shared" si="13"/>
        <v>32.242341666666668</v>
      </c>
      <c r="G156">
        <f t="shared" si="14"/>
        <v>-124.098575</v>
      </c>
      <c r="H156" s="3" t="str">
        <f t="shared" si="15"/>
        <v>[342] = {["comment"] = "32-14-32.4300N 124-05-54.8700W", ["callsignStr"] = "EDSEL", ["latitude"] = 32.2423416666667, ["longitude"] = -124.098575 },</v>
      </c>
    </row>
    <row r="157" spans="1:8" ht="29.4" hidden="1" thickBot="1" x14ac:dyDescent="0.35">
      <c r="A157" s="4" t="s">
        <v>704</v>
      </c>
      <c r="B157" s="4" t="s">
        <v>394</v>
      </c>
      <c r="C157" s="4" t="s">
        <v>705</v>
      </c>
      <c r="D157" t="str">
        <f t="shared" si="11"/>
        <v>32-28-00.1200N</v>
      </c>
      <c r="E157" t="str">
        <f t="shared" si="12"/>
        <v>123-00-03.6900W</v>
      </c>
      <c r="F157">
        <f t="shared" si="13"/>
        <v>32.466700000000003</v>
      </c>
      <c r="G157">
        <f t="shared" si="14"/>
        <v>-123.001025</v>
      </c>
      <c r="H157" s="3" t="str">
        <f t="shared" si="15"/>
        <v>[343] = {["comment"] = "32-28-00.1200N 123-00-03.6900W", ["callsignStr"] = "EDTOO", ["latitude"] = 32.4667, ["longitude"] = -123.001025 },</v>
      </c>
    </row>
    <row r="158" spans="1:8" ht="15" hidden="1" thickBot="1" x14ac:dyDescent="0.35">
      <c r="A158" s="4" t="s">
        <v>706</v>
      </c>
      <c r="B158" s="4" t="s">
        <v>394</v>
      </c>
      <c r="C158" s="4" t="s">
        <v>707</v>
      </c>
      <c r="D158" t="str">
        <f t="shared" si="11"/>
        <v>56-00-00.0000N</v>
      </c>
      <c r="E158" t="str">
        <f t="shared" si="12"/>
        <v>180-00-00.0000E</v>
      </c>
      <c r="F158">
        <f t="shared" si="13"/>
        <v>56</v>
      </c>
      <c r="G158">
        <f t="shared" si="14"/>
        <v>180</v>
      </c>
      <c r="H158" s="3" t="str">
        <f t="shared" si="15"/>
        <v>[344] = {["comment"] = "56-00-00.0000N 180-00-00.0000E", ["callsignStr"] = "EDWAL", ["latitude"] = 56, ["longitude"] = 180 },</v>
      </c>
    </row>
    <row r="159" spans="1:8" ht="29.4" hidden="1" thickBot="1" x14ac:dyDescent="0.35">
      <c r="A159" s="4" t="s">
        <v>708</v>
      </c>
      <c r="B159" s="4" t="s">
        <v>394</v>
      </c>
      <c r="C159" s="4" t="s">
        <v>709</v>
      </c>
      <c r="D159" t="str">
        <f t="shared" si="11"/>
        <v>43-20-00.0000N</v>
      </c>
      <c r="E159" t="str">
        <f t="shared" si="12"/>
        <v>130-57-00.0000W</v>
      </c>
      <c r="F159">
        <f t="shared" si="13"/>
        <v>43.333333333333336</v>
      </c>
      <c r="G159">
        <f t="shared" si="14"/>
        <v>-130.94999999999999</v>
      </c>
      <c r="H159" s="3" t="str">
        <f t="shared" si="15"/>
        <v>[345] = {["comment"] = "43-20-00.0000N 130-57-00.0000W", ["callsignStr"] = "EDWIL", ["latitude"] = 43.3333333333333, ["longitude"] = -130.95 },</v>
      </c>
    </row>
    <row r="160" spans="1:8" ht="29.4" hidden="1" thickBot="1" x14ac:dyDescent="0.35">
      <c r="A160" s="4" t="s">
        <v>710</v>
      </c>
      <c r="B160" s="4" t="s">
        <v>394</v>
      </c>
      <c r="C160" s="4" t="s">
        <v>711</v>
      </c>
      <c r="D160" t="str">
        <f t="shared" si="11"/>
        <v>33-53-46.9900N</v>
      </c>
      <c r="E160" t="str">
        <f t="shared" si="12"/>
        <v>119-39-19.2100W</v>
      </c>
      <c r="F160">
        <f t="shared" si="13"/>
        <v>33.896386111111113</v>
      </c>
      <c r="G160">
        <f t="shared" si="14"/>
        <v>-119.65533611111111</v>
      </c>
      <c r="H160" s="3" t="str">
        <f t="shared" si="15"/>
        <v>[346] = {["comment"] = "33-53-46.9900N 119-39-19.2100W", ["callsignStr"] = "EESSA", ["latitude"] = 33.8963861111111, ["longitude"] = -119.655336111111 },</v>
      </c>
    </row>
    <row r="161" spans="1:8" ht="29.4" hidden="1" thickBot="1" x14ac:dyDescent="0.35">
      <c r="A161" s="4" t="s">
        <v>712</v>
      </c>
      <c r="B161" s="4" t="s">
        <v>394</v>
      </c>
      <c r="C161" s="4" t="s">
        <v>713</v>
      </c>
      <c r="D161" t="str">
        <f t="shared" si="11"/>
        <v>08-30-50.0000N</v>
      </c>
      <c r="E161" t="str">
        <f t="shared" si="12"/>
        <v>151-22-05.0000E</v>
      </c>
      <c r="F161">
        <f t="shared" si="13"/>
        <v>8.5138888888888893</v>
      </c>
      <c r="G161">
        <f t="shared" si="14"/>
        <v>151.36805555555557</v>
      </c>
      <c r="H161" s="3" t="str">
        <f t="shared" si="15"/>
        <v>[347] = {["comment"] = "08-30-50.0000N 151-22-05.0000E", ["callsignStr"] = "EGEBE", ["latitude"] = 8.51388888888889, ["longitude"] = 151.368055555556 },</v>
      </c>
    </row>
    <row r="162" spans="1:8" ht="29.4" hidden="1" thickBot="1" x14ac:dyDescent="0.35">
      <c r="A162" s="4" t="s">
        <v>714</v>
      </c>
      <c r="B162" s="4" t="s">
        <v>394</v>
      </c>
      <c r="C162" s="4" t="s">
        <v>715</v>
      </c>
      <c r="D162" t="str">
        <f t="shared" si="11"/>
        <v>10-11-28.0000N</v>
      </c>
      <c r="E162" t="str">
        <f t="shared" si="12"/>
        <v>162-08-16.0000W</v>
      </c>
      <c r="F162">
        <f t="shared" si="13"/>
        <v>10.191111111111111</v>
      </c>
      <c r="G162">
        <f t="shared" si="14"/>
        <v>-162.13777777777776</v>
      </c>
      <c r="H162" s="3" t="str">
        <f t="shared" si="15"/>
        <v>[348] = {["comment"] = "10-11-28.0000N 162-08-16.0000W", ["callsignStr"] = "EGKEL", ["latitude"] = 10.1911111111111, ["longitude"] = -162.137777777778 },</v>
      </c>
    </row>
    <row r="163" spans="1:8" ht="15" hidden="1" thickBot="1" x14ac:dyDescent="0.35">
      <c r="A163" s="4" t="s">
        <v>716</v>
      </c>
      <c r="B163" s="4" t="s">
        <v>394</v>
      </c>
      <c r="C163" s="4" t="s">
        <v>717</v>
      </c>
      <c r="D163" t="str">
        <f t="shared" si="11"/>
        <v>55-00-00.0000N</v>
      </c>
      <c r="E163" t="str">
        <f t="shared" si="12"/>
        <v>180-00-00.0000E</v>
      </c>
      <c r="F163">
        <f t="shared" si="13"/>
        <v>55</v>
      </c>
      <c r="G163">
        <f t="shared" si="14"/>
        <v>180</v>
      </c>
      <c r="H163" s="3" t="str">
        <f t="shared" si="15"/>
        <v>[349] = {["comment"] = "55-00-00.0000N 180-00-00.0000E", ["callsignStr"] = "ELLES", ["latitude"] = 55, ["longitude"] = 180 },</v>
      </c>
    </row>
    <row r="164" spans="1:8" ht="29.4" hidden="1" thickBot="1" x14ac:dyDescent="0.35">
      <c r="A164" s="4" t="s">
        <v>718</v>
      </c>
      <c r="B164" s="4" t="s">
        <v>394</v>
      </c>
      <c r="C164" s="4" t="s">
        <v>719</v>
      </c>
      <c r="D164" t="str">
        <f t="shared" si="11"/>
        <v>05-00-00.0000S</v>
      </c>
      <c r="E164" t="str">
        <f t="shared" si="12"/>
        <v>167-04-07.0000W</v>
      </c>
      <c r="F164">
        <f t="shared" si="13"/>
        <v>5</v>
      </c>
      <c r="G164">
        <f t="shared" si="14"/>
        <v>-167.0686111111111</v>
      </c>
      <c r="H164" s="3" t="str">
        <f t="shared" si="15"/>
        <v>[350] = {["comment"] = "05-00-00.0000S 167-04-07.0000W", ["callsignStr"] = "ELLMS", ["latitude"] = 5, ["longitude"] = -167.068611111111 },</v>
      </c>
    </row>
    <row r="165" spans="1:8" ht="29.4" hidden="1" thickBot="1" x14ac:dyDescent="0.35">
      <c r="A165" s="4" t="s">
        <v>720</v>
      </c>
      <c r="B165" s="4" t="s">
        <v>394</v>
      </c>
      <c r="C165" s="4" t="s">
        <v>721</v>
      </c>
      <c r="D165" t="str">
        <f t="shared" si="11"/>
        <v>03-30-00.0000N</v>
      </c>
      <c r="E165" t="str">
        <f t="shared" si="12"/>
        <v>166-30-30.0000E</v>
      </c>
      <c r="F165">
        <f t="shared" si="13"/>
        <v>3.5</v>
      </c>
      <c r="G165">
        <f t="shared" si="14"/>
        <v>166.50833333333333</v>
      </c>
      <c r="H165" s="3" t="str">
        <f t="shared" si="15"/>
        <v>[351] = {["comment"] = "03-30-00.0000N 166-30-30.0000E", ["callsignStr"] = "ELNUR", ["latitude"] = 3.5, ["longitude"] = 166.508333333333 },</v>
      </c>
    </row>
    <row r="166" spans="1:8" ht="29.4" hidden="1" thickBot="1" x14ac:dyDescent="0.35">
      <c r="A166" s="4" t="s">
        <v>722</v>
      </c>
      <c r="B166" s="4" t="s">
        <v>394</v>
      </c>
      <c r="C166" s="4" t="s">
        <v>723</v>
      </c>
      <c r="D166" t="str">
        <f t="shared" si="11"/>
        <v>22-20-39.0000N</v>
      </c>
      <c r="E166" t="str">
        <f t="shared" si="12"/>
        <v>151-53-07.0000W</v>
      </c>
      <c r="F166">
        <f t="shared" si="13"/>
        <v>22.344166666666666</v>
      </c>
      <c r="G166">
        <f t="shared" si="14"/>
        <v>-151.88527777777776</v>
      </c>
      <c r="H166" s="3" t="str">
        <f t="shared" si="15"/>
        <v>[352] = {["comment"] = "22-20-39.0000N 151-53-07.0000W", ["callsignStr"] = "ELOYI", ["latitude"] = 22.3441666666667, ["longitude"] = -151.885277777778 },</v>
      </c>
    </row>
    <row r="167" spans="1:8" ht="15" hidden="1" thickBot="1" x14ac:dyDescent="0.35">
      <c r="A167" s="4" t="s">
        <v>724</v>
      </c>
      <c r="B167" s="4" t="s">
        <v>394</v>
      </c>
      <c r="C167" s="4" t="s">
        <v>725</v>
      </c>
      <c r="D167" t="str">
        <f t="shared" si="11"/>
        <v>29-00-00.0000N</v>
      </c>
      <c r="E167" t="str">
        <f t="shared" si="12"/>
        <v>165-00-00.0000E</v>
      </c>
      <c r="F167">
        <f t="shared" si="13"/>
        <v>29</v>
      </c>
      <c r="G167">
        <f t="shared" si="14"/>
        <v>165</v>
      </c>
      <c r="H167" s="3" t="str">
        <f t="shared" si="15"/>
        <v>[353] = {["comment"] = "29-00-00.0000N 165-00-00.0000E", ["callsignStr"] = "EMNAK", ["latitude"] = 29, ["longitude"] = 165 },</v>
      </c>
    </row>
    <row r="168" spans="1:8" ht="29.4" hidden="1" thickBot="1" x14ac:dyDescent="0.35">
      <c r="A168" s="4" t="s">
        <v>726</v>
      </c>
      <c r="B168" s="4" t="s">
        <v>394</v>
      </c>
      <c r="C168" s="4" t="s">
        <v>727</v>
      </c>
      <c r="D168" t="str">
        <f t="shared" si="11"/>
        <v>19-18-20.3900N</v>
      </c>
      <c r="E168" t="str">
        <f t="shared" si="12"/>
        <v>166-31-09.0300E</v>
      </c>
      <c r="F168">
        <f t="shared" si="13"/>
        <v>19.305663888888891</v>
      </c>
      <c r="G168">
        <f t="shared" si="14"/>
        <v>166.51917500000002</v>
      </c>
      <c r="H168" s="3" t="str">
        <f t="shared" si="15"/>
        <v>[354] = {["comment"] = "19-18-20.3900N 166-31-09.0300E", ["callsignStr"] = "ENCIN", ["latitude"] = 19.3056638888889, ["longitude"] = 166.519175 },</v>
      </c>
    </row>
    <row r="169" spans="1:8" ht="29.4" hidden="1" thickBot="1" x14ac:dyDescent="0.35">
      <c r="A169" s="4" t="s">
        <v>728</v>
      </c>
      <c r="B169" s="4" t="s">
        <v>394</v>
      </c>
      <c r="C169" s="4" t="s">
        <v>729</v>
      </c>
      <c r="D169" t="str">
        <f t="shared" si="11"/>
        <v>42-55-15.0000N</v>
      </c>
      <c r="E169" t="str">
        <f t="shared" si="12"/>
        <v>126-43-02.0000W</v>
      </c>
      <c r="F169">
        <f t="shared" si="13"/>
        <v>42.920833333333334</v>
      </c>
      <c r="G169">
        <f t="shared" si="14"/>
        <v>-126.71722222222222</v>
      </c>
      <c r="H169" s="3" t="str">
        <f t="shared" si="15"/>
        <v>[355] = {["comment"] = "42-55-15.0000N 126-43-02.0000W", ["callsignStr"] = "ENDAW", ["latitude"] = 42.9208333333333, ["longitude"] = -126.717222222222 },</v>
      </c>
    </row>
    <row r="170" spans="1:8" ht="15" hidden="1" thickBot="1" x14ac:dyDescent="0.35">
      <c r="A170" s="4" t="s">
        <v>730</v>
      </c>
      <c r="B170" s="4" t="s">
        <v>394</v>
      </c>
      <c r="C170" s="4" t="s">
        <v>731</v>
      </c>
      <c r="D170" t="str">
        <f t="shared" si="11"/>
        <v>14-15-00.0000N</v>
      </c>
      <c r="E170" t="str">
        <f t="shared" si="12"/>
        <v>130-00-00.0000E</v>
      </c>
      <c r="F170">
        <f t="shared" si="13"/>
        <v>14.25</v>
      </c>
      <c r="G170">
        <f t="shared" si="14"/>
        <v>130</v>
      </c>
      <c r="H170" s="3" t="str">
        <f t="shared" si="15"/>
        <v>[356] = {["comment"] = "14-15-00.0000N 130-00-00.0000E", ["callsignStr"] = "ENDAX", ["latitude"] = 14.25, ["longitude"] = 130 },</v>
      </c>
    </row>
    <row r="171" spans="1:8" ht="29.4" hidden="1" thickBot="1" x14ac:dyDescent="0.35">
      <c r="A171" s="4" t="s">
        <v>732</v>
      </c>
      <c r="B171" s="4" t="s">
        <v>394</v>
      </c>
      <c r="C171" s="4" t="s">
        <v>733</v>
      </c>
      <c r="D171" t="str">
        <f t="shared" si="11"/>
        <v>33-34-59.0000N</v>
      </c>
      <c r="E171" t="str">
        <f t="shared" si="12"/>
        <v>118-01-39.0000W</v>
      </c>
      <c r="F171">
        <f t="shared" si="13"/>
        <v>33.583055555555561</v>
      </c>
      <c r="G171">
        <f t="shared" si="14"/>
        <v>-118.0275</v>
      </c>
      <c r="H171" s="3" t="str">
        <f t="shared" si="15"/>
        <v>[357] = {["comment"] = "33-34-59.0000N 118-01-39.0000W", ["callsignStr"] = "ENJAY", ["latitude"] = 33.5830555555556, ["longitude"] = -118.0275 },</v>
      </c>
    </row>
    <row r="172" spans="1:8" ht="29.4" hidden="1" thickBot="1" x14ac:dyDescent="0.35">
      <c r="A172" s="4" t="s">
        <v>734</v>
      </c>
      <c r="B172" s="4" t="s">
        <v>394</v>
      </c>
      <c r="C172" s="4" t="s">
        <v>735</v>
      </c>
      <c r="D172" t="str">
        <f t="shared" si="11"/>
        <v>25-16-34.0000N</v>
      </c>
      <c r="E172" t="str">
        <f t="shared" si="12"/>
        <v>145-30-39.0000W</v>
      </c>
      <c r="F172">
        <f t="shared" si="13"/>
        <v>25.27611111111111</v>
      </c>
      <c r="G172">
        <f t="shared" si="14"/>
        <v>-145.51083333333332</v>
      </c>
      <c r="H172" s="3" t="str">
        <f t="shared" si="15"/>
        <v>[358] = {["comment"] = "25-16-34.0000N 145-30-39.0000W", ["callsignStr"] = "ERROT", ["latitude"] = 25.2761111111111, ["longitude"] = -145.510833333333 },</v>
      </c>
    </row>
    <row r="173" spans="1:8" ht="29.4" hidden="1" thickBot="1" x14ac:dyDescent="0.35">
      <c r="A173" s="4" t="s">
        <v>736</v>
      </c>
      <c r="B173" s="4" t="s">
        <v>394</v>
      </c>
      <c r="C173" s="4" t="s">
        <v>737</v>
      </c>
      <c r="D173" t="str">
        <f t="shared" si="11"/>
        <v>19-21-11.0300N</v>
      </c>
      <c r="E173" t="str">
        <f t="shared" si="12"/>
        <v>166-16-39.1500E</v>
      </c>
      <c r="F173">
        <f t="shared" si="13"/>
        <v>19.35306388888889</v>
      </c>
      <c r="G173">
        <f t="shared" si="14"/>
        <v>166.27754166666668</v>
      </c>
      <c r="H173" s="3" t="str">
        <f t="shared" si="15"/>
        <v>[359] = {["comment"] = "19-21-11.0300N 166-16-39.1500E", ["callsignStr"] = "ESPAD", ["latitude"] = 19.3530638888889, ["longitude"] = 166.277541666667 },</v>
      </c>
    </row>
    <row r="174" spans="1:8" ht="29.4" hidden="1" thickBot="1" x14ac:dyDescent="0.35">
      <c r="A174" s="4" t="s">
        <v>738</v>
      </c>
      <c r="B174" s="4" t="s">
        <v>394</v>
      </c>
      <c r="C174" s="4" t="s">
        <v>739</v>
      </c>
      <c r="D174" t="str">
        <f t="shared" si="11"/>
        <v>30-17-09.0000N</v>
      </c>
      <c r="E174" t="str">
        <f t="shared" si="12"/>
        <v>131-38-10.0000W</v>
      </c>
      <c r="F174">
        <f t="shared" si="13"/>
        <v>30.285833333333336</v>
      </c>
      <c r="G174">
        <f t="shared" si="14"/>
        <v>-131.63611111111109</v>
      </c>
      <c r="H174" s="3" t="str">
        <f t="shared" si="15"/>
        <v>[360] = {["comment"] = "30-17-09.0000N 131-38-10.0000W", ["callsignStr"] = "ETECO", ["latitude"] = 30.2858333333333, ["longitude"] = -131.636111111111 },</v>
      </c>
    </row>
    <row r="175" spans="1:8" ht="29.4" hidden="1" thickBot="1" x14ac:dyDescent="0.35">
      <c r="A175" s="4" t="s">
        <v>740</v>
      </c>
      <c r="B175" s="4" t="s">
        <v>394</v>
      </c>
      <c r="C175" s="4" t="s">
        <v>741</v>
      </c>
      <c r="D175" t="str">
        <f t="shared" si="11"/>
        <v>27-54-42.0000N</v>
      </c>
      <c r="E175" t="str">
        <f t="shared" si="12"/>
        <v>138-51-24.0000W</v>
      </c>
      <c r="F175">
        <f t="shared" si="13"/>
        <v>27.911666666666665</v>
      </c>
      <c r="G175">
        <f t="shared" si="14"/>
        <v>-138.85666666666665</v>
      </c>
      <c r="H175" s="3" t="str">
        <f t="shared" si="15"/>
        <v>[361] = {["comment"] = "27-54-42.0000N 138-51-24.0000W", ["callsignStr"] = "ETNIC", ["latitude"] = 27.9116666666667, ["longitude"] = -138.856666666667 },</v>
      </c>
    </row>
    <row r="176" spans="1:8" ht="29.4" hidden="1" thickBot="1" x14ac:dyDescent="0.35">
      <c r="A176" s="4" t="s">
        <v>742</v>
      </c>
      <c r="B176" s="4" t="s">
        <v>394</v>
      </c>
      <c r="C176" s="4" t="s">
        <v>743</v>
      </c>
      <c r="D176" t="str">
        <f t="shared" si="11"/>
        <v>16-46-09.3700N</v>
      </c>
      <c r="E176" t="str">
        <f t="shared" si="12"/>
        <v>169-26-37.1200W</v>
      </c>
      <c r="F176">
        <f t="shared" si="13"/>
        <v>16.769269444444443</v>
      </c>
      <c r="G176">
        <f t="shared" si="14"/>
        <v>-169.44364444444446</v>
      </c>
      <c r="H176" s="3" t="str">
        <f t="shared" si="15"/>
        <v>[362] = {["comment"] = "16-46-09.3700N 169-26-37.1200W", ["callsignStr"] = "ETTER", ["latitude"] = 16.7692694444444, ["longitude"] = -169.443644444444 },</v>
      </c>
    </row>
    <row r="177" spans="1:8" ht="29.4" hidden="1" thickBot="1" x14ac:dyDescent="0.35">
      <c r="A177" s="4" t="s">
        <v>744</v>
      </c>
      <c r="B177" s="4" t="s">
        <v>394</v>
      </c>
      <c r="C177" s="4" t="s">
        <v>745</v>
      </c>
      <c r="D177" t="str">
        <f t="shared" si="11"/>
        <v>07-48-48.0000N</v>
      </c>
      <c r="E177" t="str">
        <f t="shared" si="12"/>
        <v>150-44-14.0000E</v>
      </c>
      <c r="F177">
        <f t="shared" si="13"/>
        <v>7.8133333333333335</v>
      </c>
      <c r="G177">
        <f t="shared" si="14"/>
        <v>150.73722222222221</v>
      </c>
      <c r="H177" s="3" t="str">
        <f t="shared" si="15"/>
        <v>[363] = {["comment"] = "07-48-48.0000N 150-44-14.0000E", ["callsignStr"] = "EWILS", ["latitude"] = 7.81333333333333, ["longitude"] = 150.737222222222 },</v>
      </c>
    </row>
    <row r="178" spans="1:8" ht="15" hidden="1" thickBot="1" x14ac:dyDescent="0.35">
      <c r="A178" s="4" t="s">
        <v>746</v>
      </c>
      <c r="B178" s="4" t="s">
        <v>394</v>
      </c>
      <c r="C178" s="4" t="s">
        <v>747</v>
      </c>
      <c r="D178" t="str">
        <f t="shared" si="11"/>
        <v>54-00-00.0000N</v>
      </c>
      <c r="E178" t="str">
        <f t="shared" si="12"/>
        <v>180-00-00.0000E</v>
      </c>
      <c r="F178">
        <f t="shared" si="13"/>
        <v>54</v>
      </c>
      <c r="G178">
        <f t="shared" si="14"/>
        <v>180</v>
      </c>
      <c r="H178" s="3" t="str">
        <f t="shared" si="15"/>
        <v>[364] = {["comment"] = "54-00-00.0000N 180-00-00.0000E", ["callsignStr"] = "EXAMY", ["latitude"] = 54, ["longitude"] = 180 },</v>
      </c>
    </row>
    <row r="179" spans="1:8" ht="15" hidden="1" thickBot="1" x14ac:dyDescent="0.35">
      <c r="A179" s="4" t="s">
        <v>748</v>
      </c>
      <c r="B179" s="4" t="s">
        <v>394</v>
      </c>
      <c r="C179" s="4" t="s">
        <v>749</v>
      </c>
      <c r="D179" t="str">
        <f t="shared" si="11"/>
        <v>53-00-00.0000N</v>
      </c>
      <c r="E179" t="str">
        <f t="shared" si="12"/>
        <v>180-00-00.0000E</v>
      </c>
      <c r="F179">
        <f t="shared" si="13"/>
        <v>53</v>
      </c>
      <c r="G179">
        <f t="shared" si="14"/>
        <v>180</v>
      </c>
      <c r="H179" s="3" t="str">
        <f t="shared" si="15"/>
        <v>[365] = {["comment"] = "53-00-00.0000N 180-00-00.0000E", ["callsignStr"] = "EYETI", ["latitude"] = 53, ["longitude"] = 180 },</v>
      </c>
    </row>
    <row r="180" spans="1:8" ht="15" hidden="1" thickBot="1" x14ac:dyDescent="0.35">
      <c r="A180" s="4" t="s">
        <v>750</v>
      </c>
      <c r="B180" s="4" t="s">
        <v>394</v>
      </c>
      <c r="C180" s="4" t="s">
        <v>751</v>
      </c>
      <c r="D180" t="str">
        <f t="shared" si="11"/>
        <v>52-00-00.0000N</v>
      </c>
      <c r="E180" t="str">
        <f t="shared" si="12"/>
        <v>180-00-00.0000E</v>
      </c>
      <c r="F180">
        <f t="shared" si="13"/>
        <v>52</v>
      </c>
      <c r="G180">
        <f t="shared" si="14"/>
        <v>180</v>
      </c>
      <c r="H180" s="3" t="str">
        <f t="shared" si="15"/>
        <v>[366] = {["comment"] = "52-00-00.0000N 180-00-00.0000E", ["callsignStr"] = "EYWAK", ["latitude"] = 52, ["longitude"] = 180 },</v>
      </c>
    </row>
    <row r="181" spans="1:8" ht="15" hidden="1" thickBot="1" x14ac:dyDescent="0.35">
      <c r="A181" s="4" t="s">
        <v>752</v>
      </c>
      <c r="B181" s="4" t="s">
        <v>394</v>
      </c>
      <c r="C181" s="4" t="s">
        <v>753</v>
      </c>
      <c r="D181" t="str">
        <f t="shared" si="11"/>
        <v>00-00-00.0000S</v>
      </c>
      <c r="E181" t="str">
        <f t="shared" si="12"/>
        <v>144-00-00.0000E</v>
      </c>
      <c r="F181">
        <f t="shared" si="13"/>
        <v>0</v>
      </c>
      <c r="G181">
        <f t="shared" si="14"/>
        <v>144</v>
      </c>
      <c r="H181" s="3" t="str">
        <f t="shared" si="15"/>
        <v>[367] = {["comment"] = "00-00-00.0000S 144-00-00.0000E", ["callsignStr"] = "FACED", ["latitude"] = 0, ["longitude"] = 144 },</v>
      </c>
    </row>
    <row r="182" spans="1:8" ht="29.4" hidden="1" thickBot="1" x14ac:dyDescent="0.35">
      <c r="A182" s="4" t="s">
        <v>754</v>
      </c>
      <c r="B182" s="4" t="s">
        <v>394</v>
      </c>
      <c r="C182" s="4" t="s">
        <v>755</v>
      </c>
      <c r="D182" t="str">
        <f t="shared" si="11"/>
        <v>21-32-52.0000N</v>
      </c>
      <c r="E182" t="str">
        <f t="shared" si="12"/>
        <v>151-27-59.0000W</v>
      </c>
      <c r="F182">
        <f t="shared" si="13"/>
        <v>21.547777777777778</v>
      </c>
      <c r="G182">
        <f t="shared" si="14"/>
        <v>-151.46638888888887</v>
      </c>
      <c r="H182" s="3" t="str">
        <f t="shared" si="15"/>
        <v>[368] = {["comment"] = "21-32-52.0000N 151-27-59.0000W", ["callsignStr"] = "FAPIS", ["latitude"] = 21.5477777777778, ["longitude"] = -151.466388888889 },</v>
      </c>
    </row>
    <row r="183" spans="1:8" ht="29.4" hidden="1" thickBot="1" x14ac:dyDescent="0.35">
      <c r="A183" s="4" t="s">
        <v>756</v>
      </c>
      <c r="B183" s="4" t="s">
        <v>394</v>
      </c>
      <c r="C183" s="4" t="s">
        <v>757</v>
      </c>
      <c r="D183" t="str">
        <f t="shared" si="11"/>
        <v>08-41-53.0000N</v>
      </c>
      <c r="E183" t="str">
        <f t="shared" si="12"/>
        <v>168-53-39.0000E</v>
      </c>
      <c r="F183">
        <f t="shared" si="13"/>
        <v>8.6980555555555554</v>
      </c>
      <c r="G183">
        <f t="shared" si="14"/>
        <v>168.89416666666665</v>
      </c>
      <c r="H183" s="3" t="str">
        <f t="shared" si="15"/>
        <v>[369] = {["comment"] = "08-41-53.0000N 168-53-39.0000E", ["callsignStr"] = "FARAX", ["latitude"] = 8.69805555555556, ["longitude"] = 168.894166666667 },</v>
      </c>
    </row>
    <row r="184" spans="1:8" ht="29.4" hidden="1" thickBot="1" x14ac:dyDescent="0.35">
      <c r="A184" s="4" t="s">
        <v>758</v>
      </c>
      <c r="B184" s="4" t="s">
        <v>394</v>
      </c>
      <c r="C184" s="4" t="s">
        <v>759</v>
      </c>
      <c r="D184" t="str">
        <f t="shared" si="11"/>
        <v>37-41-46.1500N</v>
      </c>
      <c r="E184" t="str">
        <f t="shared" si="12"/>
        <v>123-00-55.3900W</v>
      </c>
      <c r="F184">
        <f t="shared" si="13"/>
        <v>37.696152777777776</v>
      </c>
      <c r="G184">
        <f t="shared" si="14"/>
        <v>-123.01538611111111</v>
      </c>
      <c r="H184" s="3" t="str">
        <f t="shared" si="15"/>
        <v>[370] = {["comment"] = "SAU*D*231.00/25.00 PYE*D*180.00 37-41-46.1500N 123-00-55.3900W", ["callsignStr"] = "FARRA", ["latitude"] = 37.6961527777778, ["longitude"] = -123.015386111111 },</v>
      </c>
    </row>
    <row r="185" spans="1:8" ht="29.4" hidden="1" thickBot="1" x14ac:dyDescent="0.35">
      <c r="A185" s="4" t="s">
        <v>760</v>
      </c>
      <c r="B185" s="4" t="s">
        <v>394</v>
      </c>
      <c r="C185" s="4" t="s">
        <v>761</v>
      </c>
      <c r="D185" t="str">
        <f t="shared" si="11"/>
        <v>47-00-00.0000N</v>
      </c>
      <c r="E185" t="str">
        <f t="shared" si="12"/>
        <v>132-08-00.0000W</v>
      </c>
      <c r="F185">
        <f t="shared" si="13"/>
        <v>47</v>
      </c>
      <c r="G185">
        <f t="shared" si="14"/>
        <v>-132.13333333333333</v>
      </c>
      <c r="H185" s="3" t="str">
        <f t="shared" si="15"/>
        <v>[371] = {["comment"] = "47-00-00.0000N 132-08-00.0000W", ["callsignStr"] = "FASEL", ["latitude"] = 47, ["longitude"] = -132.133333333333 },</v>
      </c>
    </row>
    <row r="186" spans="1:8" ht="29.4" hidden="1" thickBot="1" x14ac:dyDescent="0.35">
      <c r="A186" s="4" t="s">
        <v>762</v>
      </c>
      <c r="B186" s="4" t="s">
        <v>394</v>
      </c>
      <c r="C186" s="4" t="s">
        <v>763</v>
      </c>
      <c r="D186" t="str">
        <f t="shared" si="11"/>
        <v>39-03-49.0000N</v>
      </c>
      <c r="E186" t="str">
        <f t="shared" si="12"/>
        <v>127-00-00.0000W</v>
      </c>
      <c r="F186">
        <f t="shared" si="13"/>
        <v>39.063611111111108</v>
      </c>
      <c r="G186">
        <f t="shared" si="14"/>
        <v>-127</v>
      </c>
      <c r="H186" s="3" t="str">
        <f t="shared" si="15"/>
        <v>[372] = {["comment"] = "39-03-49.0000N 127-00-00.0000W", ["callsignStr"] = "FATMO", ["latitude"] = 39.0636111111111, ["longitude"] = -127 },</v>
      </c>
    </row>
    <row r="187" spans="1:8" ht="29.4" hidden="1" thickBot="1" x14ac:dyDescent="0.35">
      <c r="A187" s="4" t="s">
        <v>764</v>
      </c>
      <c r="B187" s="4" t="s">
        <v>394</v>
      </c>
      <c r="C187" s="4" t="s">
        <v>765</v>
      </c>
      <c r="D187" t="str">
        <f t="shared" si="11"/>
        <v>12-42-00.0000N</v>
      </c>
      <c r="E187" t="str">
        <f t="shared" si="12"/>
        <v>149-07-00.0000E</v>
      </c>
      <c r="F187">
        <f t="shared" si="13"/>
        <v>12.7</v>
      </c>
      <c r="G187">
        <f t="shared" si="14"/>
        <v>149.11666666666667</v>
      </c>
      <c r="H187" s="3" t="str">
        <f t="shared" si="15"/>
        <v>[373] = {["comment"] = "12-42-00.0000N 149-07-00.0000E", ["callsignStr"] = "FATUM", ["latitude"] = 12.7, ["longitude"] = 149.116666666667 },</v>
      </c>
    </row>
    <row r="188" spans="1:8" ht="29.4" hidden="1" thickBot="1" x14ac:dyDescent="0.35">
      <c r="A188" s="4" t="s">
        <v>766</v>
      </c>
      <c r="B188" s="4" t="s">
        <v>394</v>
      </c>
      <c r="C188" s="4" t="s">
        <v>767</v>
      </c>
      <c r="D188" t="str">
        <f t="shared" si="11"/>
        <v>07-56-14.0000N</v>
      </c>
      <c r="E188" t="str">
        <f t="shared" si="12"/>
        <v>170-30-38.0000E</v>
      </c>
      <c r="F188">
        <f t="shared" si="13"/>
        <v>7.9372222222222222</v>
      </c>
      <c r="G188">
        <f t="shared" si="14"/>
        <v>170.51055555555556</v>
      </c>
      <c r="H188" s="3" t="str">
        <f t="shared" si="15"/>
        <v>[374] = {["comment"] = "07-56-14.0000N 170-30-38.0000E", ["callsignStr"] = "FEBER", ["latitude"] = 7.93722222222222, ["longitude"] = 170.510555555556 },</v>
      </c>
    </row>
    <row r="189" spans="1:8" ht="29.4" hidden="1" thickBot="1" x14ac:dyDescent="0.35">
      <c r="A189" s="4" t="s">
        <v>768</v>
      </c>
      <c r="B189" s="4" t="s">
        <v>394</v>
      </c>
      <c r="C189" s="4" t="s">
        <v>769</v>
      </c>
      <c r="D189" t="str">
        <f t="shared" si="11"/>
        <v>20-57-58.7500N</v>
      </c>
      <c r="E189" t="str">
        <f t="shared" si="12"/>
        <v>154-21-23.7300W</v>
      </c>
      <c r="F189">
        <f t="shared" si="13"/>
        <v>20.966319444444444</v>
      </c>
      <c r="G189">
        <f t="shared" si="14"/>
        <v>-154.35659166666667</v>
      </c>
      <c r="H189" s="3" t="str">
        <f t="shared" si="15"/>
        <v>[375] = {["comment"] = "20-57-58.7500N 154-21-23.7300W", ["callsignStr"] = "FEKIK", ["latitude"] = 20.9663194444444, ["longitude"] = -154.356591666667 },</v>
      </c>
    </row>
    <row r="190" spans="1:8" ht="29.4" hidden="1" thickBot="1" x14ac:dyDescent="0.35">
      <c r="A190" s="4" t="s">
        <v>770</v>
      </c>
      <c r="B190" s="4" t="s">
        <v>394</v>
      </c>
      <c r="C190" s="4" t="s">
        <v>771</v>
      </c>
      <c r="D190" t="str">
        <f t="shared" si="11"/>
        <v>07-50-46.0000N</v>
      </c>
      <c r="E190" t="str">
        <f t="shared" si="12"/>
        <v>168-29-34.0000E</v>
      </c>
      <c r="F190">
        <f t="shared" si="13"/>
        <v>7.846111111111111</v>
      </c>
      <c r="G190">
        <f t="shared" si="14"/>
        <v>168.49277777777777</v>
      </c>
      <c r="H190" s="3" t="str">
        <f t="shared" si="15"/>
        <v>[376] = {["comment"] = "07-50-46.0000N 168-29-34.0000E", ["callsignStr"] = "FELLY", ["latitude"] = 7.84611111111111, ["longitude"] = 168.492777777778 },</v>
      </c>
    </row>
    <row r="191" spans="1:8" ht="29.4" hidden="1" thickBot="1" x14ac:dyDescent="0.35">
      <c r="A191" s="4" t="s">
        <v>772</v>
      </c>
      <c r="B191" s="4" t="s">
        <v>394</v>
      </c>
      <c r="C191" s="4" t="s">
        <v>773</v>
      </c>
      <c r="D191" t="str">
        <f t="shared" si="11"/>
        <v>46-04-55.1600N</v>
      </c>
      <c r="E191" t="str">
        <f t="shared" si="12"/>
        <v>126-32-47.3000W</v>
      </c>
      <c r="F191">
        <f t="shared" si="13"/>
        <v>46.081988888888894</v>
      </c>
      <c r="G191">
        <f t="shared" si="14"/>
        <v>-126.54647222222222</v>
      </c>
      <c r="H191" s="3" t="str">
        <f t="shared" si="15"/>
        <v>[377] = {["comment"] = "46-04-55.1600N 126-32-47.3000W", ["callsignStr"] = "FENGR", ["latitude"] = 46.0819888888889, ["longitude"] = -126.546472222222 },</v>
      </c>
    </row>
    <row r="192" spans="1:8" ht="29.4" hidden="1" thickBot="1" x14ac:dyDescent="0.35">
      <c r="A192" s="4" t="s">
        <v>774</v>
      </c>
      <c r="B192" s="4" t="s">
        <v>394</v>
      </c>
      <c r="C192" s="4" t="s">
        <v>775</v>
      </c>
      <c r="D192" t="str">
        <f t="shared" si="11"/>
        <v>03-30-00.0000N</v>
      </c>
      <c r="E192" t="str">
        <f t="shared" si="12"/>
        <v>162-15-42.0000E</v>
      </c>
      <c r="F192">
        <f t="shared" si="13"/>
        <v>3.5</v>
      </c>
      <c r="G192">
        <f t="shared" si="14"/>
        <v>162.26166666666666</v>
      </c>
      <c r="H192" s="3" t="str">
        <f t="shared" si="15"/>
        <v>[378] = {["comment"] = "03-30-00.0000N 162-15-42.0000E", ["callsignStr"] = "FENSE", ["latitude"] = 3.5, ["longitude"] = 162.261666666667 },</v>
      </c>
    </row>
    <row r="193" spans="1:8" ht="29.4" thickBot="1" x14ac:dyDescent="0.35">
      <c r="A193" s="4" t="s">
        <v>776</v>
      </c>
      <c r="B193" s="4" t="s">
        <v>394</v>
      </c>
      <c r="C193" s="4" t="s">
        <v>777</v>
      </c>
      <c r="D193" t="str">
        <f t="shared" si="11"/>
        <v>11-46-00.0000N</v>
      </c>
      <c r="E193" t="str">
        <f t="shared" si="12"/>
        <v>148-47-00.0000E</v>
      </c>
      <c r="F193">
        <f t="shared" si="13"/>
        <v>11.766666666666667</v>
      </c>
      <c r="G193">
        <f t="shared" si="14"/>
        <v>148.78333333333333</v>
      </c>
      <c r="H193" s="3" t="str">
        <f t="shared" si="15"/>
        <v>[379] = {["comment"] = "11-46-00.0000N 148-47-00.0000E", ["callsignStr"] = "FIBSS", ["latitude"] = 11.7666666666667, ["longitude"] = 148.783333333333 },</v>
      </c>
    </row>
    <row r="194" spans="1:8" ht="29.4" hidden="1" thickBot="1" x14ac:dyDescent="0.35">
      <c r="A194" s="4" t="s">
        <v>778</v>
      </c>
      <c r="B194" s="4" t="s">
        <v>394</v>
      </c>
      <c r="C194" s="4" t="s">
        <v>779</v>
      </c>
      <c r="D194" t="str">
        <f t="shared" si="11"/>
        <v>31-33-27.3800N</v>
      </c>
      <c r="E194" t="str">
        <f t="shared" si="12"/>
        <v>121-23-30.4700W</v>
      </c>
      <c r="F194">
        <f t="shared" si="13"/>
        <v>31.557605555555558</v>
      </c>
      <c r="G194">
        <f t="shared" si="14"/>
        <v>-121.39179722222222</v>
      </c>
      <c r="H194" s="3" t="str">
        <f t="shared" si="15"/>
        <v>[380] = {["comment"] = "31-33-27.3800N 121-23-30.4700W", ["callsignStr"] = "FICKY", ["latitude"] = 31.5576055555556, ["longitude"] = -121.391797222222 },</v>
      </c>
    </row>
    <row r="195" spans="1:8" ht="29.4" thickBot="1" x14ac:dyDescent="0.35">
      <c r="A195" s="4" t="s">
        <v>780</v>
      </c>
      <c r="B195" s="4" t="s">
        <v>394</v>
      </c>
      <c r="C195" s="4" t="s">
        <v>781</v>
      </c>
      <c r="D195" t="str">
        <f t="shared" ref="D195:D258" si="16">findLatitude(C195)</f>
        <v>15-00-22.2500N</v>
      </c>
      <c r="E195" t="str">
        <f t="shared" ref="E195:E258" si="17">findLongitude(C195)</f>
        <v>145-37-30.0000E</v>
      </c>
      <c r="F195">
        <f t="shared" ref="F195:F258" si="18">VALUE(MID(D195,1,2))+VALUE(MID(D195,4,2))/60+VALUE(MID(D195,7,7))/(1*3600)</f>
        <v>15.006180555555556</v>
      </c>
      <c r="G195">
        <f t="shared" ref="G195:G258" si="19">(VALUE(MID(E195,1,3))+VALUE(MID(E195,5,2))/60+VALUE(MID(E195,8,7))/(1*3600))*IF(MID(E195,15,1)="E",1,-1)</f>
        <v>145.625</v>
      </c>
      <c r="H195" s="3" t="str">
        <f t="shared" ref="H195:H258" si="20">CONCATENATE("[",ROW()+$H$1-1,"] = {","[""comment""] = """,C195,""", ","[""callsignStr""] = """,A195,""", ","[""latitude""] = ",F195,", ","[""longitude""] = ",G195," },")</f>
        <v>[381] = {["comment"] = "SN*R*216.24 GSN*LD/9.86 15-00-22.2500N 145-37-30.0000E", ["callsignStr"] = "FIPMU", ["latitude"] = 15.0061805555556, ["longitude"] = 145.625 },</v>
      </c>
    </row>
    <row r="196" spans="1:8" ht="29.4" hidden="1" thickBot="1" x14ac:dyDescent="0.35">
      <c r="A196" s="4" t="s">
        <v>782</v>
      </c>
      <c r="B196" s="4" t="s">
        <v>394</v>
      </c>
      <c r="C196" s="4" t="s">
        <v>783</v>
      </c>
      <c r="D196" t="str">
        <f t="shared" si="16"/>
        <v>20-47-40.4000N</v>
      </c>
      <c r="E196" t="str">
        <f t="shared" si="17"/>
        <v>153-00-02.2800W</v>
      </c>
      <c r="F196">
        <f t="shared" si="18"/>
        <v>20.794555555555558</v>
      </c>
      <c r="G196">
        <f t="shared" si="19"/>
        <v>-153.00063333333333</v>
      </c>
      <c r="H196" s="3" t="str">
        <f t="shared" si="20"/>
        <v>[382] = {["comment"] = "UPP*C*066.00/164.00 ITO*C*049.16 20-47-40.4000N 153-00-02.2800W", ["callsignStr"] = "FITES", ["latitude"] = 20.7945555555556, ["longitude"] = -153.000633333333 },</v>
      </c>
    </row>
    <row r="197" spans="1:8" ht="29.4" hidden="1" thickBot="1" x14ac:dyDescent="0.35">
      <c r="A197" s="4" t="s">
        <v>784</v>
      </c>
      <c r="B197" s="4" t="s">
        <v>394</v>
      </c>
      <c r="C197" s="4" t="s">
        <v>785</v>
      </c>
      <c r="D197" t="str">
        <f t="shared" si="16"/>
        <v>26-59-42.0000N</v>
      </c>
      <c r="E197" t="str">
        <f t="shared" si="17"/>
        <v>138-12-18.0000W</v>
      </c>
      <c r="F197">
        <f t="shared" si="18"/>
        <v>26.995000000000001</v>
      </c>
      <c r="G197">
        <f t="shared" si="19"/>
        <v>-138.20499999999998</v>
      </c>
      <c r="H197" s="3" t="str">
        <f t="shared" si="20"/>
        <v>[383] = {["comment"] = "26-59-42.0000N 138-12-18.0000W", ["callsignStr"] = "FIZEL", ["latitude"] = 26.995, ["longitude"] = -138.205 },</v>
      </c>
    </row>
    <row r="198" spans="1:8" ht="29.4" thickBot="1" x14ac:dyDescent="0.35">
      <c r="A198" s="4" t="s">
        <v>786</v>
      </c>
      <c r="B198" s="4" t="s">
        <v>394</v>
      </c>
      <c r="C198" s="4" t="s">
        <v>787</v>
      </c>
      <c r="D198" t="str">
        <f t="shared" si="16"/>
        <v>14-13-00.0000N</v>
      </c>
      <c r="E198" t="str">
        <f t="shared" si="17"/>
        <v>142-49-00.0000E</v>
      </c>
      <c r="F198">
        <f t="shared" si="18"/>
        <v>14.216666666666667</v>
      </c>
      <c r="G198">
        <f t="shared" si="19"/>
        <v>142.81666666666666</v>
      </c>
      <c r="H198" s="3" t="str">
        <f t="shared" si="20"/>
        <v>[384] = {["comment"] = "14-13-00.0000N 142-49-00.0000E", ["callsignStr"] = "FLASH", ["latitude"] = 14.2166666666667, ["longitude"] = 142.816666666667 },</v>
      </c>
    </row>
    <row r="199" spans="1:8" ht="29.4" hidden="1" thickBot="1" x14ac:dyDescent="0.35">
      <c r="A199" s="4" t="s">
        <v>788</v>
      </c>
      <c r="B199" s="4" t="s">
        <v>394</v>
      </c>
      <c r="C199" s="4" t="s">
        <v>789</v>
      </c>
      <c r="D199" t="str">
        <f t="shared" si="16"/>
        <v>29-57-00.0000N</v>
      </c>
      <c r="E199" t="str">
        <f t="shared" si="17"/>
        <v>140-23-00.0000W</v>
      </c>
      <c r="F199">
        <f t="shared" si="18"/>
        <v>29.95</v>
      </c>
      <c r="G199">
        <f t="shared" si="19"/>
        <v>-140.38333333333333</v>
      </c>
      <c r="H199" s="3" t="str">
        <f t="shared" si="20"/>
        <v>[385] = {["comment"] = "29-57-00.0000N 140-23-00.0000W", ["callsignStr"] = "FLEXX", ["latitude"] = 29.95, ["longitude"] = -140.383333333333 },</v>
      </c>
    </row>
    <row r="200" spans="1:8" ht="29.4" hidden="1" thickBot="1" x14ac:dyDescent="0.35">
      <c r="A200" s="4" t="s">
        <v>790</v>
      </c>
      <c r="B200" s="4" t="s">
        <v>394</v>
      </c>
      <c r="C200" s="4" t="s">
        <v>791</v>
      </c>
      <c r="D200" t="str">
        <f t="shared" si="16"/>
        <v>29-15-52.0000N</v>
      </c>
      <c r="E200" t="str">
        <f t="shared" si="17"/>
        <v>131-01-19.0000W</v>
      </c>
      <c r="F200">
        <f t="shared" si="18"/>
        <v>29.264444444444443</v>
      </c>
      <c r="G200">
        <f t="shared" si="19"/>
        <v>-131.02194444444447</v>
      </c>
      <c r="H200" s="3" t="str">
        <f t="shared" si="20"/>
        <v>[386] = {["comment"] = "29-15-52.0000N 131-01-19.0000W", ["callsignStr"] = "FLITY", ["latitude"] = 29.2644444444444, ["longitude"] = -131.021944444444 },</v>
      </c>
    </row>
    <row r="201" spans="1:8" ht="29.4" hidden="1" thickBot="1" x14ac:dyDescent="0.35">
      <c r="A201" s="4" t="s">
        <v>792</v>
      </c>
      <c r="B201" s="4" t="s">
        <v>394</v>
      </c>
      <c r="C201" s="4" t="s">
        <v>793</v>
      </c>
      <c r="D201" t="str">
        <f t="shared" si="16"/>
        <v>25-03-24.0000N</v>
      </c>
      <c r="E201" t="str">
        <f t="shared" si="17"/>
        <v>162-38-59.0000W</v>
      </c>
      <c r="F201">
        <f t="shared" si="18"/>
        <v>25.056666666666668</v>
      </c>
      <c r="G201">
        <f t="shared" si="19"/>
        <v>-162.64972222222221</v>
      </c>
      <c r="H201" s="3" t="str">
        <f t="shared" si="20"/>
        <v>[387] = {["comment"] = "25-03-24.0000N 162-38-59.0000W", ["callsignStr"] = "FLYHM", ["latitude"] = 25.0566666666667, ["longitude"] = -162.649722222222 },</v>
      </c>
    </row>
    <row r="202" spans="1:8" ht="29.4" hidden="1" thickBot="1" x14ac:dyDescent="0.35">
      <c r="A202" s="4" t="s">
        <v>794</v>
      </c>
      <c r="B202" s="4" t="s">
        <v>394</v>
      </c>
      <c r="C202" s="4" t="s">
        <v>795</v>
      </c>
      <c r="D202" t="str">
        <f t="shared" si="16"/>
        <v>07-05-01.0000N</v>
      </c>
      <c r="E202" t="str">
        <f t="shared" si="17"/>
        <v>170-06-50.0000E</v>
      </c>
      <c r="F202">
        <f t="shared" si="18"/>
        <v>7.0836111111111109</v>
      </c>
      <c r="G202">
        <f t="shared" si="19"/>
        <v>170.11388888888888</v>
      </c>
      <c r="H202" s="3" t="str">
        <f t="shared" si="20"/>
        <v>[388] = {["comment"] = "07-05-01.0000N 170-06-50.0000E", ["callsignStr"] = "FOLOB", ["latitude"] = 7.08361111111111, ["longitude"] = 170.113888888889 },</v>
      </c>
    </row>
    <row r="203" spans="1:8" ht="29.4" hidden="1" thickBot="1" x14ac:dyDescent="0.35">
      <c r="A203" s="4" t="s">
        <v>796</v>
      </c>
      <c r="B203" s="4" t="s">
        <v>394</v>
      </c>
      <c r="C203" s="4" t="s">
        <v>797</v>
      </c>
      <c r="D203" t="str">
        <f t="shared" si="16"/>
        <v>24-24-36.0000N</v>
      </c>
      <c r="E203" t="str">
        <f t="shared" si="17"/>
        <v>144-59-09.0000W</v>
      </c>
      <c r="F203">
        <f t="shared" si="18"/>
        <v>24.41</v>
      </c>
      <c r="G203">
        <f t="shared" si="19"/>
        <v>-144.98583333333332</v>
      </c>
      <c r="H203" s="3" t="str">
        <f t="shared" si="20"/>
        <v>[389] = {["comment"] = "24-24-36.0000N 144-59-09.0000W", ["callsignStr"] = "FOMAS", ["latitude"] = 24.41, ["longitude"] = -144.985833333333 },</v>
      </c>
    </row>
    <row r="204" spans="1:8" ht="29.4" thickBot="1" x14ac:dyDescent="0.35">
      <c r="A204" s="4" t="s">
        <v>798</v>
      </c>
      <c r="B204" s="4" t="s">
        <v>394</v>
      </c>
      <c r="C204" s="4" t="s">
        <v>799</v>
      </c>
      <c r="D204" t="str">
        <f t="shared" si="16"/>
        <v>14-10-52.0000N</v>
      </c>
      <c r="E204" t="str">
        <f t="shared" si="17"/>
        <v>146-48-12.0000E</v>
      </c>
      <c r="F204">
        <f t="shared" si="18"/>
        <v>14.181111111111111</v>
      </c>
      <c r="G204">
        <f t="shared" si="19"/>
        <v>146.80333333333334</v>
      </c>
      <c r="H204" s="3" t="str">
        <f t="shared" si="20"/>
        <v>[390] = {["comment"] = "14-10-52.0000N 146-48-12.0000E", ["callsignStr"] = "FONUG", ["latitude"] = 14.1811111111111, ["longitude"] = 146.803333333333 },</v>
      </c>
    </row>
    <row r="205" spans="1:8" ht="29.4" hidden="1" thickBot="1" x14ac:dyDescent="0.35">
      <c r="A205" s="4" t="s">
        <v>800</v>
      </c>
      <c r="B205" s="4" t="s">
        <v>394</v>
      </c>
      <c r="C205" s="4" t="s">
        <v>801</v>
      </c>
      <c r="D205" t="str">
        <f t="shared" si="16"/>
        <v>31-07-55.4100N</v>
      </c>
      <c r="E205" t="str">
        <f t="shared" si="17"/>
        <v>123-32-52.8100W</v>
      </c>
      <c r="F205">
        <f t="shared" si="18"/>
        <v>31.132058333333333</v>
      </c>
      <c r="G205">
        <f t="shared" si="19"/>
        <v>-123.54800277777778</v>
      </c>
      <c r="H205" s="3" t="str">
        <f t="shared" si="20"/>
        <v>[391] = {["comment"] = "31-07-55.4100N 123-32-52.8100W", ["callsignStr"] = "FOOTS", ["latitude"] = 31.1320583333333, ["longitude"] = -123.548002777778 },</v>
      </c>
    </row>
    <row r="206" spans="1:8" ht="29.4" hidden="1" thickBot="1" x14ac:dyDescent="0.35">
      <c r="A206" s="4" t="s">
        <v>802</v>
      </c>
      <c r="B206" s="4" t="s">
        <v>394</v>
      </c>
      <c r="C206" s="4" t="s">
        <v>803</v>
      </c>
      <c r="D206" t="str">
        <f t="shared" si="16"/>
        <v>40-04-45.0000N</v>
      </c>
      <c r="E206" t="str">
        <f t="shared" si="17"/>
        <v>128-00-00.0000W</v>
      </c>
      <c r="F206">
        <f t="shared" si="18"/>
        <v>40.079166666666673</v>
      </c>
      <c r="G206">
        <f t="shared" si="19"/>
        <v>-128</v>
      </c>
      <c r="H206" s="3" t="str">
        <f t="shared" si="20"/>
        <v>[392] = {["comment"] = "40-04-45.0000N 128-00-00.0000W", ["callsignStr"] = "FORSE", ["latitude"] = 40.0791666666667, ["longitude"] = -128 },</v>
      </c>
    </row>
    <row r="207" spans="1:8" ht="29.4" hidden="1" thickBot="1" x14ac:dyDescent="0.35">
      <c r="A207" s="4" t="s">
        <v>804</v>
      </c>
      <c r="B207" s="4" t="s">
        <v>394</v>
      </c>
      <c r="C207" s="4" t="s">
        <v>805</v>
      </c>
      <c r="D207" t="str">
        <f t="shared" si="16"/>
        <v>42-55-00.0000N</v>
      </c>
      <c r="E207" t="str">
        <f t="shared" si="17"/>
        <v>130-00-00.0000W</v>
      </c>
      <c r="F207">
        <f t="shared" si="18"/>
        <v>42.916666666666664</v>
      </c>
      <c r="G207">
        <f t="shared" si="19"/>
        <v>-130</v>
      </c>
      <c r="H207" s="3" t="str">
        <f t="shared" si="20"/>
        <v>[393] = {["comment"] = "42-55-00.0000N 130-00-00.0000W", ["callsignStr"] = "FOZZI", ["latitude"] = 42.9166666666667, ["longitude"] = -130 },</v>
      </c>
    </row>
    <row r="208" spans="1:8" ht="29.4" hidden="1" thickBot="1" x14ac:dyDescent="0.35">
      <c r="A208" s="4" t="s">
        <v>806</v>
      </c>
      <c r="B208" s="4" t="s">
        <v>394</v>
      </c>
      <c r="C208" s="4" t="s">
        <v>807</v>
      </c>
      <c r="D208" t="str">
        <f t="shared" si="16"/>
        <v>66-37-11.9600N</v>
      </c>
      <c r="E208" t="str">
        <f t="shared" si="17"/>
        <v>168-58-23.9900W</v>
      </c>
      <c r="F208">
        <f t="shared" si="18"/>
        <v>66.619988888888884</v>
      </c>
      <c r="G208">
        <f t="shared" si="19"/>
        <v>-168.97333055555555</v>
      </c>
      <c r="H208" s="3" t="str">
        <f t="shared" si="20"/>
        <v>[394] = {["comment"] = "66-37-11.9600N 168-58-23.9900W", ["callsignStr"] = "FRENK", ["latitude"] = 66.6199888888889, ["longitude"] = -168.973330555556 },</v>
      </c>
    </row>
    <row r="209" spans="1:8" ht="29.4" hidden="1" thickBot="1" x14ac:dyDescent="0.35">
      <c r="A209" s="4" t="s">
        <v>808</v>
      </c>
      <c r="B209" s="4" t="s">
        <v>394</v>
      </c>
      <c r="C209" s="4" t="s">
        <v>809</v>
      </c>
      <c r="D209" t="str">
        <f t="shared" si="16"/>
        <v>54-13-18.7700N</v>
      </c>
      <c r="E209" t="str">
        <f t="shared" si="17"/>
        <v>133-37-56.8100W</v>
      </c>
      <c r="F209">
        <f t="shared" si="18"/>
        <v>54.221880555555558</v>
      </c>
      <c r="G209">
        <f t="shared" si="19"/>
        <v>-133.63244722222223</v>
      </c>
      <c r="H209" s="3" t="str">
        <f t="shared" si="20"/>
        <v>[395] = {["comment"] = "ICK*R*217.00 ANN*D*214.70 YZP*D*293.59/87.32 54-13-18.7700N 133-37-56.8100W", ["callsignStr"] = "FRIED", ["latitude"] = 54.2218805555556, ["longitude"] = -133.632447222222 },</v>
      </c>
    </row>
    <row r="210" spans="1:8" ht="29.4" hidden="1" thickBot="1" x14ac:dyDescent="0.35">
      <c r="A210" s="4" t="s">
        <v>810</v>
      </c>
      <c r="B210" s="4" t="s">
        <v>394</v>
      </c>
      <c r="C210" s="4" t="s">
        <v>811</v>
      </c>
      <c r="D210" t="str">
        <f t="shared" si="16"/>
        <v>46-38-33.0000N</v>
      </c>
      <c r="E210" t="str">
        <f t="shared" si="17"/>
        <v>125-23-27.1500W</v>
      </c>
      <c r="F210">
        <f t="shared" si="18"/>
        <v>46.642499999999998</v>
      </c>
      <c r="G210">
        <f t="shared" si="19"/>
        <v>-125.39087500000001</v>
      </c>
      <c r="H210" s="3" t="str">
        <f t="shared" si="20"/>
        <v>[396] = {["comment"] = "46-38-33.0000N 125-23-27.1500W", ["callsignStr"] = "FRMPT", ["latitude"] = 46.6425, ["longitude"] = -125.390875 },</v>
      </c>
    </row>
    <row r="211" spans="1:8" ht="29.4" hidden="1" thickBot="1" x14ac:dyDescent="0.35">
      <c r="A211" s="4" t="s">
        <v>812</v>
      </c>
      <c r="B211" s="4" t="s">
        <v>394</v>
      </c>
      <c r="C211" s="4" t="s">
        <v>813</v>
      </c>
      <c r="D211" t="str">
        <f t="shared" si="16"/>
        <v>43-07-38.0000N</v>
      </c>
      <c r="E211" t="str">
        <f t="shared" si="17"/>
        <v>126-41-49.0000W</v>
      </c>
      <c r="F211">
        <f t="shared" si="18"/>
        <v>43.127222222222223</v>
      </c>
      <c r="G211">
        <f t="shared" si="19"/>
        <v>-126.69694444444445</v>
      </c>
      <c r="H211" s="3" t="str">
        <f t="shared" si="20"/>
        <v>[397] = {["comment"] = "43-07-38.0000N 126-41-49.0000W", ["callsignStr"] = "FULMR", ["latitude"] = 43.1272222222222, ["longitude"] = -126.696944444444 },</v>
      </c>
    </row>
    <row r="212" spans="1:8" ht="29.4" hidden="1" thickBot="1" x14ac:dyDescent="0.35">
      <c r="A212" s="4" t="s">
        <v>814</v>
      </c>
      <c r="B212" s="4" t="s">
        <v>394</v>
      </c>
      <c r="C212" s="4" t="s">
        <v>815</v>
      </c>
      <c r="D212" t="str">
        <f t="shared" si="16"/>
        <v>21-50-49.2400N</v>
      </c>
      <c r="E212" t="str">
        <f t="shared" si="17"/>
        <v>157-49-52.0200W</v>
      </c>
      <c r="F212">
        <f t="shared" si="18"/>
        <v>21.847011111111112</v>
      </c>
      <c r="G212">
        <f t="shared" si="19"/>
        <v>-157.83111666666667</v>
      </c>
      <c r="H212" s="3" t="str">
        <f t="shared" si="20"/>
        <v>[398] = {["comment"] = "NGF*T*339.93/23.74 SOK*C*080.61/94.80 21-50-49.2400N 157-49-52.0200W", ["callsignStr"] = "FUZZE", ["latitude"] = 21.8470111111111, ["longitude"] = -157.831116666667 },</v>
      </c>
    </row>
    <row r="213" spans="1:8" ht="29.4" hidden="1" thickBot="1" x14ac:dyDescent="0.35">
      <c r="A213" s="4" t="s">
        <v>816</v>
      </c>
      <c r="B213" s="4" t="s">
        <v>394</v>
      </c>
      <c r="C213" s="4" t="s">
        <v>817</v>
      </c>
      <c r="D213" t="str">
        <f t="shared" si="16"/>
        <v>34-07-34.9600N</v>
      </c>
      <c r="E213" t="str">
        <f t="shared" si="17"/>
        <v>120-38-18.3200W</v>
      </c>
      <c r="F213">
        <f t="shared" si="18"/>
        <v>34.126377777777776</v>
      </c>
      <c r="G213">
        <f t="shared" si="19"/>
        <v>-120.63842222222223</v>
      </c>
      <c r="H213" s="3" t="str">
        <f t="shared" si="20"/>
        <v>[399] = {["comment"] = "34-07-34.9600N 120-38-18.3200W", ["callsignStr"] = "GAASR", ["latitude"] = 34.1263777777778, ["longitude"] = -120.638422222222 },</v>
      </c>
    </row>
    <row r="214" spans="1:8" ht="29.4" hidden="1" thickBot="1" x14ac:dyDescent="0.35">
      <c r="A214" s="4" t="s">
        <v>818</v>
      </c>
      <c r="B214" s="4" t="s">
        <v>394</v>
      </c>
      <c r="C214" s="4" t="s">
        <v>819</v>
      </c>
      <c r="D214" t="str">
        <f t="shared" si="16"/>
        <v>36-25-50.0000N</v>
      </c>
      <c r="E214" t="str">
        <f t="shared" si="17"/>
        <v>122-14-27.0000W</v>
      </c>
      <c r="F214">
        <f t="shared" si="18"/>
        <v>36.43055555555555</v>
      </c>
      <c r="G214">
        <f t="shared" si="19"/>
        <v>-122.24083333333333</v>
      </c>
      <c r="H214" s="3" t="str">
        <f t="shared" si="20"/>
        <v>[400] = {["comment"] = "36-25-50.0000N 122-14-27.0000W", ["callsignStr"] = "GAELN", ["latitude"] = 36.4305555555556, ["longitude"] = -122.240833333333 },</v>
      </c>
    </row>
    <row r="215" spans="1:8" ht="29.4" hidden="1" thickBot="1" x14ac:dyDescent="0.35">
      <c r="A215" s="4" t="s">
        <v>820</v>
      </c>
      <c r="B215" s="4" t="s">
        <v>394</v>
      </c>
      <c r="C215" s="4" t="s">
        <v>821</v>
      </c>
      <c r="D215" t="str">
        <f t="shared" si="16"/>
        <v>05-00-00.0000N</v>
      </c>
      <c r="E215" t="str">
        <f t="shared" si="17"/>
        <v>143-37-00.0000E</v>
      </c>
      <c r="F215">
        <f t="shared" si="18"/>
        <v>5</v>
      </c>
      <c r="G215">
        <f t="shared" si="19"/>
        <v>143.61666666666667</v>
      </c>
      <c r="H215" s="3" t="str">
        <f t="shared" si="20"/>
        <v>[401] = {["comment"] = "05-00-00.0000N 143-37-00.0000E", ["callsignStr"] = "GALEE", ["latitude"] = 5, ["longitude"] = 143.616666666667 },</v>
      </c>
    </row>
    <row r="216" spans="1:8" ht="29.4" hidden="1" thickBot="1" x14ac:dyDescent="0.35">
      <c r="A216" s="4" t="s">
        <v>822</v>
      </c>
      <c r="B216" s="4" t="s">
        <v>394</v>
      </c>
      <c r="C216" s="4" t="s">
        <v>823</v>
      </c>
      <c r="D216" t="str">
        <f t="shared" si="16"/>
        <v>33-55-00.0000N</v>
      </c>
      <c r="E216" t="str">
        <f t="shared" si="17"/>
        <v>124-55-03.9900W</v>
      </c>
      <c r="F216">
        <f t="shared" si="18"/>
        <v>33.916666666666664</v>
      </c>
      <c r="G216">
        <f t="shared" si="19"/>
        <v>-124.91777500000001</v>
      </c>
      <c r="H216" s="3" t="str">
        <f t="shared" si="20"/>
        <v>[402] = {["comment"] = "33-55-00.0000N 124-55-03.9900W", ["callsignStr"] = "GALIP", ["latitude"] = 33.9166666666667, ["longitude"] = -124.917775 },</v>
      </c>
    </row>
    <row r="217" spans="1:8" ht="29.4" hidden="1" thickBot="1" x14ac:dyDescent="0.35">
      <c r="A217" s="4" t="s">
        <v>824</v>
      </c>
      <c r="B217" s="4" t="s">
        <v>394</v>
      </c>
      <c r="C217" s="4" t="s">
        <v>825</v>
      </c>
      <c r="D217" t="str">
        <f t="shared" si="16"/>
        <v>10-27-42.0000N</v>
      </c>
      <c r="E217" t="str">
        <f t="shared" si="17"/>
        <v>147-47-30.0000E</v>
      </c>
      <c r="F217">
        <f t="shared" si="18"/>
        <v>10.461666666666666</v>
      </c>
      <c r="G217">
        <f t="shared" si="19"/>
        <v>147.79166666666666</v>
      </c>
      <c r="H217" s="3" t="str">
        <f t="shared" si="20"/>
        <v>[403] = {["comment"] = "10-27-42.0000N 147-47-30.0000E", ["callsignStr"] = "GALSS", ["latitude"] = 10.4616666666667, ["longitude"] = 147.791666666667 },</v>
      </c>
    </row>
    <row r="218" spans="1:8" ht="29.4" hidden="1" thickBot="1" x14ac:dyDescent="0.35">
      <c r="A218" s="4" t="s">
        <v>826</v>
      </c>
      <c r="B218" s="4" t="s">
        <v>394</v>
      </c>
      <c r="C218" s="4" t="s">
        <v>827</v>
      </c>
      <c r="D218" t="str">
        <f t="shared" si="16"/>
        <v>41-12-00.0000N</v>
      </c>
      <c r="E218" t="str">
        <f t="shared" si="17"/>
        <v>130-45-00.0000W</v>
      </c>
      <c r="F218">
        <f t="shared" si="18"/>
        <v>41.2</v>
      </c>
      <c r="G218">
        <f t="shared" si="19"/>
        <v>-130.75</v>
      </c>
      <c r="H218" s="3" t="str">
        <f t="shared" si="20"/>
        <v>[404] = {["comment"] = "41-12-00.0000N 130-45-00.0000W", ["callsignStr"] = "GAPNE", ["latitude"] = 41.2, ["longitude"] = -130.75 },</v>
      </c>
    </row>
    <row r="219" spans="1:8" ht="29.4" hidden="1" thickBot="1" x14ac:dyDescent="0.35">
      <c r="A219" s="4" t="s">
        <v>828</v>
      </c>
      <c r="B219" s="4" t="s">
        <v>394</v>
      </c>
      <c r="C219" s="4" t="s">
        <v>829</v>
      </c>
      <c r="D219" t="str">
        <f t="shared" si="16"/>
        <v>48-03-40.3000N</v>
      </c>
      <c r="E219" t="str">
        <f t="shared" si="17"/>
        <v>126-35-01.4200W</v>
      </c>
      <c r="F219">
        <f t="shared" si="18"/>
        <v>48.061194444444439</v>
      </c>
      <c r="G219">
        <f t="shared" si="19"/>
        <v>-126.58372777777777</v>
      </c>
      <c r="H219" s="3" t="str">
        <f t="shared" si="20"/>
        <v>[405] = {["comment"] = "48-03-40.3000N 126-35-01.4200W", ["callsignStr"] = "GARII", ["latitude"] = 48.0611944444444, ["longitude"] = -126.583727777778 },</v>
      </c>
    </row>
    <row r="220" spans="1:8" ht="29.4" hidden="1" thickBot="1" x14ac:dyDescent="0.35">
      <c r="A220" s="4" t="s">
        <v>830</v>
      </c>
      <c r="B220" s="4" t="s">
        <v>394</v>
      </c>
      <c r="C220" s="4" t="s">
        <v>831</v>
      </c>
      <c r="D220" t="str">
        <f t="shared" si="16"/>
        <v>37-19-06.0000N</v>
      </c>
      <c r="E220" t="str">
        <f t="shared" si="17"/>
        <v>150-31-24.0000E</v>
      </c>
      <c r="F220">
        <f t="shared" si="18"/>
        <v>37.318333333333335</v>
      </c>
      <c r="G220">
        <f t="shared" si="19"/>
        <v>150.52333333333334</v>
      </c>
      <c r="H220" s="3" t="str">
        <f t="shared" si="20"/>
        <v>[406] = {["comment"] = "37-19-06.0000N 150-31-24.0000E", ["callsignStr"] = "GARRY", ["latitude"] = 37.3183333333333, ["longitude"] = 150.523333333333 },</v>
      </c>
    </row>
    <row r="221" spans="1:8" ht="29.4" hidden="1" thickBot="1" x14ac:dyDescent="0.35">
      <c r="A221" s="4" t="s">
        <v>832</v>
      </c>
      <c r="B221" s="4" t="s">
        <v>394</v>
      </c>
      <c r="C221" s="4" t="s">
        <v>833</v>
      </c>
      <c r="D221" t="str">
        <f t="shared" si="16"/>
        <v>25-40-34.0000N</v>
      </c>
      <c r="E221" t="str">
        <f t="shared" si="17"/>
        <v>161-41-28.0000W</v>
      </c>
      <c r="F221">
        <f t="shared" si="18"/>
        <v>25.676111111111112</v>
      </c>
      <c r="G221">
        <f t="shared" si="19"/>
        <v>-161.69111111111113</v>
      </c>
      <c r="H221" s="3" t="str">
        <f t="shared" si="20"/>
        <v>[407] = {["comment"] = "25-40-34.0000N 161-41-28.0000W", ["callsignStr"] = "GENCO", ["latitude"] = 25.6761111111111, ["longitude"] = -161.691111111111 },</v>
      </c>
    </row>
    <row r="222" spans="1:8" ht="29.4" hidden="1" thickBot="1" x14ac:dyDescent="0.35">
      <c r="A222" s="4" t="s">
        <v>834</v>
      </c>
      <c r="B222" s="4" t="s">
        <v>394</v>
      </c>
      <c r="C222" s="4" t="s">
        <v>835</v>
      </c>
      <c r="D222" t="str">
        <f t="shared" si="16"/>
        <v>32-09-57.0000N</v>
      </c>
      <c r="E222" t="str">
        <f t="shared" si="17"/>
        <v>132-49-44.0000W</v>
      </c>
      <c r="F222">
        <f t="shared" si="18"/>
        <v>32.165833333333332</v>
      </c>
      <c r="G222">
        <f t="shared" si="19"/>
        <v>-132.82888888888888</v>
      </c>
      <c r="H222" s="3" t="str">
        <f t="shared" si="20"/>
        <v>[408] = {["comment"] = "32-09-57.0000N 132-49-44.0000W", ["callsignStr"] = "GITLE", ["latitude"] = 32.1658333333333, ["longitude"] = -132.828888888889 },</v>
      </c>
    </row>
    <row r="223" spans="1:8" ht="29.4" hidden="1" thickBot="1" x14ac:dyDescent="0.35">
      <c r="A223" s="4" t="s">
        <v>836</v>
      </c>
      <c r="B223" s="4" t="s">
        <v>394</v>
      </c>
      <c r="C223" s="4" t="s">
        <v>837</v>
      </c>
      <c r="D223" t="str">
        <f t="shared" si="16"/>
        <v>34-03-41.8100N</v>
      </c>
      <c r="E223" t="str">
        <f t="shared" si="17"/>
        <v>119-19-06.8600W</v>
      </c>
      <c r="F223">
        <f t="shared" si="18"/>
        <v>34.061613888888886</v>
      </c>
      <c r="G223">
        <f t="shared" si="19"/>
        <v>-119.31857222222222</v>
      </c>
      <c r="H223" s="3" t="str">
        <f t="shared" si="20"/>
        <v>[409] = {["comment"] = "34-03-41.8100N 119-19-06.8600W", ["callsignStr"] = "GKNEE", ["latitude"] = 34.0616138888889, ["longitude"] = -119.318572222222 },</v>
      </c>
    </row>
    <row r="224" spans="1:8" ht="29.4" hidden="1" thickBot="1" x14ac:dyDescent="0.35">
      <c r="A224" s="4" t="s">
        <v>838</v>
      </c>
      <c r="B224" s="4" t="s">
        <v>394</v>
      </c>
      <c r="C224" s="4" t="s">
        <v>839</v>
      </c>
      <c r="D224" t="str">
        <f t="shared" si="16"/>
        <v>57-00-00.0000N</v>
      </c>
      <c r="E224" t="str">
        <f t="shared" si="17"/>
        <v>149-43-00.0000W</v>
      </c>
      <c r="F224">
        <f t="shared" si="18"/>
        <v>57</v>
      </c>
      <c r="G224">
        <f t="shared" si="19"/>
        <v>-149.71666666666667</v>
      </c>
      <c r="H224" s="3" t="str">
        <f t="shared" si="20"/>
        <v>[410] = {["comment"] = "57-00-00.0000N 149-43-00.0000W", ["callsignStr"] = "GLLOD", ["latitude"] = 57, ["longitude"] = -149.716666666667 },</v>
      </c>
    </row>
    <row r="225" spans="1:8" ht="29.4" hidden="1" thickBot="1" x14ac:dyDescent="0.35">
      <c r="A225" s="4" t="s">
        <v>840</v>
      </c>
      <c r="B225" s="4" t="s">
        <v>394</v>
      </c>
      <c r="C225" s="4" t="s">
        <v>841</v>
      </c>
      <c r="D225" t="str">
        <f t="shared" si="16"/>
        <v>09-42-40.0000N</v>
      </c>
      <c r="E225" t="str">
        <f t="shared" si="17"/>
        <v>167-32-57.0000E</v>
      </c>
      <c r="F225">
        <f t="shared" si="18"/>
        <v>9.7111111111111104</v>
      </c>
      <c r="G225">
        <f t="shared" si="19"/>
        <v>167.54916666666668</v>
      </c>
      <c r="H225" s="3" t="str">
        <f t="shared" si="20"/>
        <v>[411] = {["comment"] = "09-42-40.0000N 167-32-57.0000E", ["callsignStr"] = "GLOEW", ["latitude"] = 9.71111111111111, ["longitude"] = 167.549166666667 },</v>
      </c>
    </row>
    <row r="226" spans="1:8" ht="29.4" hidden="1" thickBot="1" x14ac:dyDescent="0.35">
      <c r="A226" s="4" t="s">
        <v>842</v>
      </c>
      <c r="B226" s="4" t="s">
        <v>394</v>
      </c>
      <c r="C226" s="4" t="s">
        <v>843</v>
      </c>
      <c r="D226" t="str">
        <f t="shared" si="16"/>
        <v>26-24-03.0000N</v>
      </c>
      <c r="E226" t="str">
        <f t="shared" si="17"/>
        <v>160-00-00.0000E</v>
      </c>
      <c r="F226">
        <f t="shared" si="18"/>
        <v>26.400833333333331</v>
      </c>
      <c r="G226">
        <f t="shared" si="19"/>
        <v>160</v>
      </c>
      <c r="H226" s="3" t="str">
        <f t="shared" si="20"/>
        <v>[412] = {["comment"] = "26-24-03.0000N 160-00-00.0000E", ["callsignStr"] = "GNOSS", ["latitude"] = 26.4008333333333, ["longitude"] = 160 },</v>
      </c>
    </row>
    <row r="227" spans="1:8" ht="29.4" hidden="1" thickBot="1" x14ac:dyDescent="0.35">
      <c r="A227" s="4" t="s">
        <v>844</v>
      </c>
      <c r="B227" s="4" t="s">
        <v>394</v>
      </c>
      <c r="C227" s="4" t="s">
        <v>845</v>
      </c>
      <c r="D227" t="str">
        <f t="shared" si="16"/>
        <v>34-11-28.1400N</v>
      </c>
      <c r="E227" t="str">
        <f t="shared" si="17"/>
        <v>119-21-33.9900W</v>
      </c>
      <c r="F227">
        <f t="shared" si="18"/>
        <v>34.191149999999993</v>
      </c>
      <c r="G227">
        <f t="shared" si="19"/>
        <v>-119.35944166666665</v>
      </c>
      <c r="H227" s="3" t="str">
        <f t="shared" si="20"/>
        <v>[413] = {["comment"] = "34-11-28.1400N 119-21-33.9900W", ["callsignStr"] = "GNZZO", ["latitude"] = 34.19115, ["longitude"] = -119.359441666667 },</v>
      </c>
    </row>
    <row r="228" spans="1:8" ht="29.4" hidden="1" thickBot="1" x14ac:dyDescent="0.35">
      <c r="A228" s="4" t="s">
        <v>846</v>
      </c>
      <c r="B228" s="4" t="s">
        <v>394</v>
      </c>
      <c r="C228" s="4" t="s">
        <v>847</v>
      </c>
      <c r="D228" t="str">
        <f t="shared" si="16"/>
        <v>33-11-05.4700N</v>
      </c>
      <c r="E228" t="str">
        <f t="shared" si="17"/>
        <v>118-40-14.8800W</v>
      </c>
      <c r="F228">
        <f t="shared" si="18"/>
        <v>33.184852777777778</v>
      </c>
      <c r="G228">
        <f t="shared" si="19"/>
        <v>-118.6708</v>
      </c>
      <c r="H228" s="3" t="str">
        <f t="shared" si="20"/>
        <v>[414] = {["comment"] = "NUC*T*322.10/10.51 SXC*C*213.00/17.00 33-11-05.4700N 118-40-14.8800W", ["callsignStr"] = "GOATZ", ["latitude"] = 33.1848527777778, ["longitude"] = -118.6708 },</v>
      </c>
    </row>
    <row r="229" spans="1:8" ht="29.4" hidden="1" thickBot="1" x14ac:dyDescent="0.35">
      <c r="A229" s="4" t="s">
        <v>848</v>
      </c>
      <c r="B229" s="4" t="s">
        <v>394</v>
      </c>
      <c r="C229" s="4" t="s">
        <v>849</v>
      </c>
      <c r="D229" t="str">
        <f t="shared" si="16"/>
        <v>10-05-32.0000N</v>
      </c>
      <c r="E229" t="str">
        <f t="shared" si="17"/>
        <v>147-19-29.0000E</v>
      </c>
      <c r="F229">
        <f t="shared" si="18"/>
        <v>10.092222222222222</v>
      </c>
      <c r="G229">
        <f t="shared" si="19"/>
        <v>147.32472222222222</v>
      </c>
      <c r="H229" s="3" t="str">
        <f t="shared" si="20"/>
        <v>[415] = {["comment"] = "10-05-32.0000N 147-19-29.0000E", ["callsignStr"] = "GOOFI", ["latitude"] = 10.0922222222222, ["longitude"] = 147.324722222222 },</v>
      </c>
    </row>
    <row r="230" spans="1:8" ht="29.4" hidden="1" thickBot="1" x14ac:dyDescent="0.35">
      <c r="A230" s="4" t="s">
        <v>850</v>
      </c>
      <c r="B230" s="4" t="s">
        <v>394</v>
      </c>
      <c r="C230" s="4" t="s">
        <v>851</v>
      </c>
      <c r="D230" t="str">
        <f t="shared" si="16"/>
        <v>31-14-30.0000N</v>
      </c>
      <c r="E230" t="str">
        <f t="shared" si="17"/>
        <v>121-08-18.0000W</v>
      </c>
      <c r="F230">
        <f t="shared" si="18"/>
        <v>31.241666666666667</v>
      </c>
      <c r="G230">
        <f t="shared" si="19"/>
        <v>-121.13833333333334</v>
      </c>
      <c r="H230" s="3" t="str">
        <f t="shared" si="20"/>
        <v>[416] = {["comment"] = "31-14-30.0000N 121-08-18.0000W", ["callsignStr"] = "GUAPO", ["latitude"] = 31.2416666666667, ["longitude"] = -121.138333333333 },</v>
      </c>
    </row>
    <row r="231" spans="1:8" ht="29.4" hidden="1" thickBot="1" x14ac:dyDescent="0.35">
      <c r="A231" s="4" t="s">
        <v>852</v>
      </c>
      <c r="B231" s="4" t="s">
        <v>394</v>
      </c>
      <c r="C231" s="4" t="s">
        <v>853</v>
      </c>
      <c r="D231" t="str">
        <f t="shared" si="16"/>
        <v>10-43-54.0000N</v>
      </c>
      <c r="E231" t="str">
        <f t="shared" si="17"/>
        <v>148-03-54.0000E</v>
      </c>
      <c r="F231">
        <f t="shared" si="18"/>
        <v>10.731666666666667</v>
      </c>
      <c r="G231">
        <f t="shared" si="19"/>
        <v>148.065</v>
      </c>
      <c r="H231" s="3" t="str">
        <f t="shared" si="20"/>
        <v>[417] = {["comment"] = "10-43-54.0000N 148-03-54.0000E", ["callsignStr"] = "GUNSS", ["latitude"] = 10.7316666666667, ["longitude"] = 148.065 },</v>
      </c>
    </row>
    <row r="232" spans="1:8" ht="29.4" hidden="1" thickBot="1" x14ac:dyDescent="0.35">
      <c r="A232" s="4" t="s">
        <v>854</v>
      </c>
      <c r="B232" s="4" t="s">
        <v>394</v>
      </c>
      <c r="C232" s="4" t="s">
        <v>855</v>
      </c>
      <c r="D232" t="str">
        <f t="shared" si="16"/>
        <v>51-42-00.0000N</v>
      </c>
      <c r="E232" t="str">
        <f t="shared" si="17"/>
        <v>134-15-00.0000W</v>
      </c>
      <c r="F232">
        <f t="shared" si="18"/>
        <v>51.7</v>
      </c>
      <c r="G232">
        <f t="shared" si="19"/>
        <v>-134.25</v>
      </c>
      <c r="H232" s="3" t="str">
        <f t="shared" si="20"/>
        <v>[418] = {["comment"] = "51-42-00.0000N 134-15-00.0000W", ["callsignStr"] = "GUPEY", ["latitude"] = 51.7, ["longitude"] = -134.25 },</v>
      </c>
    </row>
    <row r="233" spans="1:8" ht="29.4" thickBot="1" x14ac:dyDescent="0.35">
      <c r="A233" s="4" t="s">
        <v>856</v>
      </c>
      <c r="B233" s="4" t="s">
        <v>394</v>
      </c>
      <c r="C233" s="4" t="s">
        <v>857</v>
      </c>
      <c r="D233" t="str">
        <f t="shared" si="16"/>
        <v>15-07-48.0000N</v>
      </c>
      <c r="E233" t="str">
        <f t="shared" si="17"/>
        <v>144-49-48.0000E</v>
      </c>
      <c r="F233">
        <f t="shared" si="18"/>
        <v>15.13</v>
      </c>
      <c r="G233">
        <f t="shared" si="19"/>
        <v>144.82999999999998</v>
      </c>
      <c r="H233" s="3" t="str">
        <f t="shared" si="20"/>
        <v>[419] = {["comment"] = "15-07-48.0000N 144-49-48.0000E", ["callsignStr"] = "GUYES", ["latitude"] = 15.13, ["longitude"] = 144.83 },</v>
      </c>
    </row>
    <row r="234" spans="1:8" ht="29.4" hidden="1" thickBot="1" x14ac:dyDescent="0.35">
      <c r="A234" s="4" t="s">
        <v>858</v>
      </c>
      <c r="B234" s="4" t="s">
        <v>394</v>
      </c>
      <c r="C234" s="4" t="s">
        <v>859</v>
      </c>
      <c r="D234" t="str">
        <f t="shared" si="16"/>
        <v>11-05-56.0000N</v>
      </c>
      <c r="E234" t="str">
        <f t="shared" si="17"/>
        <v>151-18-56.0000E</v>
      </c>
      <c r="F234">
        <f t="shared" si="18"/>
        <v>11.09888888888889</v>
      </c>
      <c r="G234">
        <f t="shared" si="19"/>
        <v>151.31555555555556</v>
      </c>
      <c r="H234" s="3" t="str">
        <f t="shared" si="20"/>
        <v>[420] = {["comment"] = "11-05-56.0000N 151-18-56.0000E", ["callsignStr"] = "HABDA", ["latitude"] = 11.0988888888889, ["longitude"] = 151.315555555556 },</v>
      </c>
    </row>
    <row r="235" spans="1:8" ht="29.4" hidden="1" thickBot="1" x14ac:dyDescent="0.35">
      <c r="A235" s="4" t="s">
        <v>860</v>
      </c>
      <c r="B235" s="4" t="s">
        <v>394</v>
      </c>
      <c r="C235" s="4" t="s">
        <v>861</v>
      </c>
      <c r="D235" t="str">
        <f t="shared" si="16"/>
        <v>08-35-48.0000N</v>
      </c>
      <c r="E235" t="str">
        <f t="shared" si="17"/>
        <v>156-07-54.0000E</v>
      </c>
      <c r="F235">
        <f t="shared" si="18"/>
        <v>8.5966666666666676</v>
      </c>
      <c r="G235">
        <f t="shared" si="19"/>
        <v>156.13166666666666</v>
      </c>
      <c r="H235" s="3" t="str">
        <f t="shared" si="20"/>
        <v>[421] = {["comment"] = "08-35-48.0000N 156-07-54.0000E", ["callsignStr"] = "HABEL", ["latitude"] = 8.59666666666667, ["longitude"] = 156.131666666667 },</v>
      </c>
    </row>
    <row r="236" spans="1:8" ht="29.4" hidden="1" thickBot="1" x14ac:dyDescent="0.35">
      <c r="A236" s="4" t="s">
        <v>862</v>
      </c>
      <c r="B236" s="4" t="s">
        <v>394</v>
      </c>
      <c r="C236" s="4" t="s">
        <v>863</v>
      </c>
      <c r="D236" t="str">
        <f t="shared" si="16"/>
        <v>26-06-18.0000N</v>
      </c>
      <c r="E236" t="str">
        <f t="shared" si="17"/>
        <v>160-37-54.0000W</v>
      </c>
      <c r="F236">
        <f t="shared" si="18"/>
        <v>26.105</v>
      </c>
      <c r="G236">
        <f t="shared" si="19"/>
        <v>-160.63166666666666</v>
      </c>
      <c r="H236" s="3" t="str">
        <f t="shared" si="20"/>
        <v>[422] = {["comment"] = "26-06-18.0000N 160-37-54.0000W", ["callsignStr"] = "HABIG", ["latitude"] = 26.105, ["longitude"] = -160.631666666667 },</v>
      </c>
    </row>
    <row r="237" spans="1:8" ht="29.4" hidden="1" thickBot="1" x14ac:dyDescent="0.35">
      <c r="A237" s="4" t="s">
        <v>864</v>
      </c>
      <c r="B237" s="4" t="s">
        <v>394</v>
      </c>
      <c r="C237" s="4" t="s">
        <v>865</v>
      </c>
      <c r="D237" t="str">
        <f t="shared" si="16"/>
        <v>35-36-48.0000N</v>
      </c>
      <c r="E237" t="str">
        <f t="shared" si="17"/>
        <v>151-16-18.0000E</v>
      </c>
      <c r="F237">
        <f t="shared" si="18"/>
        <v>35.613333333333337</v>
      </c>
      <c r="G237">
        <f t="shared" si="19"/>
        <v>151.27166666666668</v>
      </c>
      <c r="H237" s="3" t="str">
        <f t="shared" si="20"/>
        <v>[423] = {["comment"] = "35-36-48.0000N 151-16-18.0000E", ["callsignStr"] = "HABIT", ["latitude"] = 35.6133333333333, ["longitude"] = 151.271666666667 },</v>
      </c>
    </row>
    <row r="238" spans="1:8" ht="29.4" hidden="1" thickBot="1" x14ac:dyDescent="0.35">
      <c r="A238" s="4" t="s">
        <v>866</v>
      </c>
      <c r="B238" s="4" t="s">
        <v>394</v>
      </c>
      <c r="C238" s="4" t="s">
        <v>867</v>
      </c>
      <c r="D238" t="str">
        <f t="shared" si="16"/>
        <v>30-03-16.0000N</v>
      </c>
      <c r="E238" t="str">
        <f t="shared" si="17"/>
        <v>149-05-14.0000W</v>
      </c>
      <c r="F238">
        <f t="shared" si="18"/>
        <v>30.054444444444446</v>
      </c>
      <c r="G238">
        <f t="shared" si="19"/>
        <v>-149.08722222222224</v>
      </c>
      <c r="H238" s="3" t="str">
        <f t="shared" si="20"/>
        <v>[424] = {["comment"] = "30-03-16.0000N 149-05-14.0000W", ["callsignStr"] = "HALLI", ["latitude"] = 30.0544444444444, ["longitude"] = -149.087222222222 },</v>
      </c>
    </row>
    <row r="239" spans="1:8" ht="29.4" hidden="1" thickBot="1" x14ac:dyDescent="0.35">
      <c r="A239" s="4" t="s">
        <v>868</v>
      </c>
      <c r="B239" s="4" t="s">
        <v>394</v>
      </c>
      <c r="C239" s="4" t="s">
        <v>869</v>
      </c>
      <c r="D239" t="str">
        <f t="shared" si="16"/>
        <v>07-52-59.0000N</v>
      </c>
      <c r="E239" t="str">
        <f t="shared" si="17"/>
        <v>157-28-15.0000E</v>
      </c>
      <c r="F239">
        <f t="shared" si="18"/>
        <v>7.8830555555555559</v>
      </c>
      <c r="G239">
        <f t="shared" si="19"/>
        <v>157.47083333333333</v>
      </c>
      <c r="H239" s="3" t="str">
        <f t="shared" si="20"/>
        <v>[425] = {["comment"] = "07-52-59.0000N 157-28-15.0000E", ["callsignStr"] = "HAMDI", ["latitude"] = 7.88305555555556, ["longitude"] = 157.470833333333 },</v>
      </c>
    </row>
    <row r="240" spans="1:8" ht="29.4" hidden="1" thickBot="1" x14ac:dyDescent="0.35">
      <c r="A240" s="4" t="s">
        <v>870</v>
      </c>
      <c r="B240" s="4" t="s">
        <v>394</v>
      </c>
      <c r="C240" s="4" t="s">
        <v>871</v>
      </c>
      <c r="D240" t="str">
        <f t="shared" si="16"/>
        <v>37-43-55.9200N</v>
      </c>
      <c r="E240" t="str">
        <f t="shared" si="17"/>
        <v>123-32-05.9100W</v>
      </c>
      <c r="F240">
        <f t="shared" si="18"/>
        <v>37.732199999999999</v>
      </c>
      <c r="G240">
        <f t="shared" si="19"/>
        <v>-123.534975</v>
      </c>
      <c r="H240" s="3" t="str">
        <f t="shared" si="20"/>
        <v>[426] = {["comment"] = "37-43-55.9200N 123-32-05.9100W", ["callsignStr"] = "HANAI", ["latitude"] = 37.7322, ["longitude"] = -123.534975 },</v>
      </c>
    </row>
    <row r="241" spans="1:8" ht="29.4" hidden="1" thickBot="1" x14ac:dyDescent="0.35">
      <c r="A241" s="4" t="s">
        <v>872</v>
      </c>
      <c r="B241" s="4" t="s">
        <v>394</v>
      </c>
      <c r="C241" s="4" t="s">
        <v>873</v>
      </c>
      <c r="D241" t="str">
        <f t="shared" si="16"/>
        <v>10-13-56.0000N</v>
      </c>
      <c r="E241" t="str">
        <f t="shared" si="17"/>
        <v>150-56-24.0000E</v>
      </c>
      <c r="F241">
        <f t="shared" si="18"/>
        <v>10.232222222222223</v>
      </c>
      <c r="G241">
        <f t="shared" si="19"/>
        <v>150.94</v>
      </c>
      <c r="H241" s="3" t="str">
        <f t="shared" si="20"/>
        <v>[427] = {["comment"] = "10-13-56.0000N 150-56-24.0000E", ["callsignStr"] = "HAREN", ["latitude"] = 10.2322222222222, ["longitude"] = 150.94 },</v>
      </c>
    </row>
    <row r="242" spans="1:8" ht="29.4" hidden="1" thickBot="1" x14ac:dyDescent="0.35">
      <c r="A242" s="4" t="s">
        <v>874</v>
      </c>
      <c r="B242" s="4" t="s">
        <v>394</v>
      </c>
      <c r="C242" s="4" t="s">
        <v>875</v>
      </c>
      <c r="D242" t="str">
        <f t="shared" si="16"/>
        <v>07-45-52.0000N</v>
      </c>
      <c r="E242" t="str">
        <f t="shared" si="17"/>
        <v>155-41-18.0000E</v>
      </c>
      <c r="F242">
        <f t="shared" si="18"/>
        <v>7.764444444444444</v>
      </c>
      <c r="G242">
        <f t="shared" si="19"/>
        <v>155.68833333333333</v>
      </c>
      <c r="H242" s="3" t="str">
        <f t="shared" si="20"/>
        <v>[428] = {["comment"] = "07-45-52.0000N 155-41-18.0000E", ["callsignStr"] = "HARTE", ["latitude"] = 7.76444444444444, ["longitude"] = 155.688333333333 },</v>
      </c>
    </row>
    <row r="243" spans="1:8" ht="29.4" hidden="1" thickBot="1" x14ac:dyDescent="0.35">
      <c r="A243" s="4" t="s">
        <v>876</v>
      </c>
      <c r="B243" s="4" t="s">
        <v>394</v>
      </c>
      <c r="C243" s="4" t="s">
        <v>877</v>
      </c>
      <c r="D243" t="str">
        <f t="shared" si="16"/>
        <v>09-01-04.0000N</v>
      </c>
      <c r="E243" t="str">
        <f t="shared" si="17"/>
        <v>166-36-28.0000E</v>
      </c>
      <c r="F243">
        <f t="shared" si="18"/>
        <v>9.0177777777777788</v>
      </c>
      <c r="G243">
        <f t="shared" si="19"/>
        <v>166.60777777777778</v>
      </c>
      <c r="H243" s="3" t="str">
        <f t="shared" si="20"/>
        <v>[429] = {["comment"] = "09-01-04.0000N 166-36-28.0000E", ["callsignStr"] = "HATHO", ["latitude"] = 9.01777777777778, ["longitude"] = 166.607777777778 },</v>
      </c>
    </row>
    <row r="244" spans="1:8" ht="29.4" hidden="1" thickBot="1" x14ac:dyDescent="0.35">
      <c r="A244" s="4" t="s">
        <v>878</v>
      </c>
      <c r="B244" s="4" t="s">
        <v>394</v>
      </c>
      <c r="C244" s="4" t="s">
        <v>879</v>
      </c>
      <c r="D244" t="str">
        <f t="shared" si="16"/>
        <v>07-03-04.0000N</v>
      </c>
      <c r="E244" t="str">
        <f t="shared" si="17"/>
        <v>157-01-47.0000E</v>
      </c>
      <c r="F244">
        <f t="shared" si="18"/>
        <v>7.0511111111111111</v>
      </c>
      <c r="G244">
        <f t="shared" si="19"/>
        <v>157.02972222222223</v>
      </c>
      <c r="H244" s="3" t="str">
        <f t="shared" si="20"/>
        <v>[430] = {["comment"] = "07-03-04.0000N 157-01-47.0000E", ["callsignStr"] = "HEBUK", ["latitude"] = 7.05111111111111, ["longitude"] = 157.029722222222 },</v>
      </c>
    </row>
    <row r="245" spans="1:8" ht="29.4" hidden="1" thickBot="1" x14ac:dyDescent="0.35">
      <c r="A245" s="4" t="s">
        <v>880</v>
      </c>
      <c r="B245" s="4" t="s">
        <v>394</v>
      </c>
      <c r="C245" s="4" t="s">
        <v>881</v>
      </c>
      <c r="D245" t="str">
        <f t="shared" si="16"/>
        <v>08-05-19.0000N</v>
      </c>
      <c r="E245" t="str">
        <f t="shared" si="17"/>
        <v>166-45-29.0000E</v>
      </c>
      <c r="F245">
        <f t="shared" si="18"/>
        <v>8.0886111111111116</v>
      </c>
      <c r="G245">
        <f t="shared" si="19"/>
        <v>166.75805555555556</v>
      </c>
      <c r="H245" s="3" t="str">
        <f t="shared" si="20"/>
        <v>[431] = {["comment"] = "08-05-19.0000N 166-45-29.0000E", ["callsignStr"] = "HEGIS", ["latitude"] = 8.08861111111111, ["longitude"] = 166.758055555556 },</v>
      </c>
    </row>
    <row r="246" spans="1:8" ht="29.4" hidden="1" thickBot="1" x14ac:dyDescent="0.35">
      <c r="A246" s="4" t="s">
        <v>882</v>
      </c>
      <c r="B246" s="4" t="s">
        <v>394</v>
      </c>
      <c r="C246" s="4" t="s">
        <v>883</v>
      </c>
      <c r="D246" t="str">
        <f t="shared" si="16"/>
        <v>39-24-45.0000N</v>
      </c>
      <c r="E246" t="str">
        <f t="shared" si="17"/>
        <v>134-58-23.0000W</v>
      </c>
      <c r="F246">
        <f t="shared" si="18"/>
        <v>39.412500000000001</v>
      </c>
      <c r="G246">
        <f t="shared" si="19"/>
        <v>-134.97305555555556</v>
      </c>
      <c r="H246" s="3" t="str">
        <f t="shared" si="20"/>
        <v>[432] = {["comment"] = "39-24-45.0000N 134-58-23.0000W", ["callsignStr"] = "HEKAB", ["latitude"] = 39.4125, ["longitude"] = -134.973055555556 },</v>
      </c>
    </row>
    <row r="247" spans="1:8" ht="29.4" hidden="1" thickBot="1" x14ac:dyDescent="0.35">
      <c r="A247" s="4" t="s">
        <v>884</v>
      </c>
      <c r="B247" s="4" t="s">
        <v>394</v>
      </c>
      <c r="C247" s="4" t="s">
        <v>885</v>
      </c>
      <c r="D247" t="str">
        <f t="shared" si="16"/>
        <v>35-00-00.0000N</v>
      </c>
      <c r="E247" t="str">
        <f t="shared" si="17"/>
        <v>142-20-31.0000W</v>
      </c>
      <c r="F247">
        <f t="shared" si="18"/>
        <v>35</v>
      </c>
      <c r="G247">
        <f t="shared" si="19"/>
        <v>-142.34194444444447</v>
      </c>
      <c r="H247" s="3" t="str">
        <f t="shared" si="20"/>
        <v>[433] = {["comment"] = "35-00-00.0000N 142-20-31.0000W", ["callsignStr"] = "HELOP", ["latitude"] = 35, ["longitude"] = -142.341944444444 },</v>
      </c>
    </row>
    <row r="248" spans="1:8" ht="29.4" hidden="1" thickBot="1" x14ac:dyDescent="0.35">
      <c r="A248" s="4" t="s">
        <v>886</v>
      </c>
      <c r="B248" s="4" t="s">
        <v>394</v>
      </c>
      <c r="C248" s="4" t="s">
        <v>887</v>
      </c>
      <c r="D248" t="str">
        <f t="shared" si="16"/>
        <v>43-18-08.6700N</v>
      </c>
      <c r="E248" t="str">
        <f t="shared" si="17"/>
        <v>126-40-50.4100W</v>
      </c>
      <c r="F248">
        <f t="shared" si="18"/>
        <v>43.302408333333332</v>
      </c>
      <c r="G248">
        <f t="shared" si="19"/>
        <v>-126.68066944444445</v>
      </c>
      <c r="H248" s="3" t="str">
        <f t="shared" si="20"/>
        <v>[434] = {["comment"] = "43-18-08.6700N 126-40-50.4100W", ["callsignStr"] = "HEMLO", ["latitude"] = 43.3024083333333, ["longitude"] = -126.680669444444 },</v>
      </c>
    </row>
    <row r="249" spans="1:8" ht="29.4" thickBot="1" x14ac:dyDescent="0.35">
      <c r="A249" s="4" t="s">
        <v>888</v>
      </c>
      <c r="B249" s="4" t="s">
        <v>394</v>
      </c>
      <c r="C249" s="4" t="s">
        <v>889</v>
      </c>
      <c r="D249" t="str">
        <f t="shared" si="16"/>
        <v>14-51-02.4100N</v>
      </c>
      <c r="E249" t="str">
        <f t="shared" si="17"/>
        <v>145-18-48.2700E</v>
      </c>
      <c r="F249">
        <f t="shared" si="18"/>
        <v>14.850669444444444</v>
      </c>
      <c r="G249">
        <f t="shared" si="19"/>
        <v>145.31340833333334</v>
      </c>
      <c r="H249" s="3" t="str">
        <f t="shared" si="20"/>
        <v>[435] = {["comment"] = "UNZ*C*020.00/90.00 14-51-02.4100N 145-18-48.2700E", ["callsignStr"] = "HEXUG", ["latitude"] = 14.8506694444444, ["longitude"] = 145.313408333333 },</v>
      </c>
    </row>
    <row r="250" spans="1:8" ht="29.4" hidden="1" thickBot="1" x14ac:dyDescent="0.35">
      <c r="A250" s="4" t="s">
        <v>890</v>
      </c>
      <c r="B250" s="4" t="s">
        <v>394</v>
      </c>
      <c r="C250" s="4" t="s">
        <v>891</v>
      </c>
      <c r="D250" t="str">
        <f t="shared" si="16"/>
        <v>30-00-00.0000N</v>
      </c>
      <c r="E250" t="str">
        <f t="shared" si="17"/>
        <v>122-31-30.0000W</v>
      </c>
      <c r="F250">
        <f t="shared" si="18"/>
        <v>30</v>
      </c>
      <c r="G250">
        <f t="shared" si="19"/>
        <v>-122.52500000000001</v>
      </c>
      <c r="H250" s="3" t="str">
        <f t="shared" si="20"/>
        <v>[436] = {["comment"] = "30-00-00.0000N 122-31-30.0000W", ["callsignStr"] = "HILCO", ["latitude"] = 30, ["longitude"] = -122.525 },</v>
      </c>
    </row>
    <row r="251" spans="1:8" ht="29.4" hidden="1" thickBot="1" x14ac:dyDescent="0.35">
      <c r="A251" s="4" t="s">
        <v>892</v>
      </c>
      <c r="B251" s="4" t="s">
        <v>394</v>
      </c>
      <c r="C251" s="4" t="s">
        <v>893</v>
      </c>
      <c r="D251" t="str">
        <f t="shared" si="16"/>
        <v>21-41-42.4300N</v>
      </c>
      <c r="E251" t="str">
        <f t="shared" si="17"/>
        <v>157-12-08.3900W</v>
      </c>
      <c r="F251">
        <f t="shared" si="18"/>
        <v>21.695119444444444</v>
      </c>
      <c r="G251">
        <f t="shared" si="19"/>
        <v>-157.20233055555553</v>
      </c>
      <c r="H251" s="3" t="str">
        <f t="shared" si="20"/>
        <v>[437] = {["comment"] = "21-41-42.4300N 157-12-08.3900W", ["callsignStr"] = "HISPO", ["latitude"] = 21.6951194444444, ["longitude"] = -157.202330555556 },</v>
      </c>
    </row>
    <row r="252" spans="1:8" ht="29.4" hidden="1" thickBot="1" x14ac:dyDescent="0.35">
      <c r="A252" s="4" t="s">
        <v>894</v>
      </c>
      <c r="B252" s="4" t="s">
        <v>394</v>
      </c>
      <c r="C252" s="4" t="s">
        <v>895</v>
      </c>
      <c r="D252" t="str">
        <f t="shared" si="16"/>
        <v>07-49-37.0000N</v>
      </c>
      <c r="E252" t="str">
        <f t="shared" si="17"/>
        <v>165-16-31.0000E</v>
      </c>
      <c r="F252">
        <f t="shared" si="18"/>
        <v>7.826944444444444</v>
      </c>
      <c r="G252">
        <f t="shared" si="19"/>
        <v>165.2752777777778</v>
      </c>
      <c r="H252" s="3" t="str">
        <f t="shared" si="20"/>
        <v>[438] = {["comment"] = "07-49-37.0000N 165-16-31.0000E", ["callsignStr"] = "HIVRO", ["latitude"] = 7.82694444444444, ["longitude"] = 165.275277777778 },</v>
      </c>
    </row>
    <row r="253" spans="1:8" ht="29.4" hidden="1" thickBot="1" x14ac:dyDescent="0.35">
      <c r="A253" s="4" t="s">
        <v>896</v>
      </c>
      <c r="B253" s="4" t="s">
        <v>394</v>
      </c>
      <c r="C253" s="4" t="s">
        <v>897</v>
      </c>
      <c r="D253" t="str">
        <f t="shared" si="16"/>
        <v>07-00-29.0000N</v>
      </c>
      <c r="E253" t="str">
        <f t="shared" si="17"/>
        <v>160-49-34.0000E</v>
      </c>
      <c r="F253">
        <f t="shared" si="18"/>
        <v>7.0080555555555559</v>
      </c>
      <c r="G253">
        <f t="shared" si="19"/>
        <v>160.82611111111112</v>
      </c>
      <c r="H253" s="3" t="str">
        <f t="shared" si="20"/>
        <v>[439] = {["comment"] = "07-00-29.0000N 160-49-34.0000E", ["callsignStr"] = "HOLOS", ["latitude"] = 7.00805555555556, ["longitude"] = 160.826111111111 },</v>
      </c>
    </row>
    <row r="254" spans="1:8" ht="29.4" hidden="1" thickBot="1" x14ac:dyDescent="0.35">
      <c r="A254" s="4" t="s">
        <v>898</v>
      </c>
      <c r="B254" s="4" t="s">
        <v>394</v>
      </c>
      <c r="C254" s="4" t="s">
        <v>899</v>
      </c>
      <c r="D254" t="str">
        <f t="shared" si="16"/>
        <v>46-43-58.6000N</v>
      </c>
      <c r="E254" t="str">
        <f t="shared" si="17"/>
        <v>125-26-14.1000W</v>
      </c>
      <c r="F254">
        <f t="shared" si="18"/>
        <v>46.732944444444449</v>
      </c>
      <c r="G254">
        <f t="shared" si="19"/>
        <v>-125.43725000000001</v>
      </c>
      <c r="H254" s="3" t="str">
        <f t="shared" si="20"/>
        <v>[440] = {["comment"] = "46-43-58.6000N 125-26-14.1000W", ["callsignStr"] = "HONSO", ["latitude"] = 46.7329444444444, ["longitude"] = -125.43725 },</v>
      </c>
    </row>
    <row r="255" spans="1:8" ht="29.4" hidden="1" thickBot="1" x14ac:dyDescent="0.35">
      <c r="A255" s="4" t="s">
        <v>900</v>
      </c>
      <c r="B255" s="4" t="s">
        <v>394</v>
      </c>
      <c r="C255" s="4" t="s">
        <v>901</v>
      </c>
      <c r="D255" t="str">
        <f t="shared" si="16"/>
        <v>20-50-50.0000N</v>
      </c>
      <c r="E255" t="str">
        <f t="shared" si="17"/>
        <v>157-19-14.0000W</v>
      </c>
      <c r="F255">
        <f t="shared" si="18"/>
        <v>20.847222222222221</v>
      </c>
      <c r="G255">
        <f t="shared" si="19"/>
        <v>-157.32055555555556</v>
      </c>
      <c r="H255" s="3" t="str">
        <f t="shared" si="20"/>
        <v>[441] = {["comment"] = "20-50-50.0000N 157-19-14.0000W", ["callsignStr"] = "HONUU", ["latitude"] = 20.8472222222222, ["longitude"] = -157.320555555556 },</v>
      </c>
    </row>
    <row r="256" spans="1:8" ht="29.4" hidden="1" thickBot="1" x14ac:dyDescent="0.35">
      <c r="A256" s="4" t="s">
        <v>902</v>
      </c>
      <c r="B256" s="4" t="s">
        <v>394</v>
      </c>
      <c r="C256" s="4" t="s">
        <v>903</v>
      </c>
      <c r="D256" t="str">
        <f t="shared" si="16"/>
        <v>21-07-00.0000N</v>
      </c>
      <c r="E256" t="str">
        <f t="shared" si="17"/>
        <v>162-50-00.0000W</v>
      </c>
      <c r="F256">
        <f t="shared" si="18"/>
        <v>21.116666666666667</v>
      </c>
      <c r="G256">
        <f t="shared" si="19"/>
        <v>-162.83333333333334</v>
      </c>
      <c r="H256" s="3" t="str">
        <f t="shared" si="20"/>
        <v>[442] = {["comment"] = "21-07-00.0000N 162-50-00.0000W", ["callsignStr"] = "HOOPA", ["latitude"] = 21.1166666666667, ["longitude"] = -162.833333333333 },</v>
      </c>
    </row>
    <row r="257" spans="1:8" ht="29.4" hidden="1" thickBot="1" x14ac:dyDescent="0.35">
      <c r="A257" s="4" t="s">
        <v>904</v>
      </c>
      <c r="B257" s="4" t="s">
        <v>394</v>
      </c>
      <c r="C257" s="4" t="s">
        <v>905</v>
      </c>
      <c r="D257" t="str">
        <f t="shared" si="16"/>
        <v>09-54-54.0000N</v>
      </c>
      <c r="E257" t="str">
        <f t="shared" si="17"/>
        <v>142-50-00.0000E</v>
      </c>
      <c r="F257">
        <f t="shared" si="18"/>
        <v>9.9150000000000009</v>
      </c>
      <c r="G257">
        <f t="shared" si="19"/>
        <v>142.83333333333334</v>
      </c>
      <c r="H257" s="3" t="str">
        <f t="shared" si="20"/>
        <v>[443] = {["comment"] = "09-54-54.0000N 142-50-00.0000E", ["callsignStr"] = "HOOVR", ["latitude"] = 9.915, ["longitude"] = 142.833333333333 },</v>
      </c>
    </row>
    <row r="258" spans="1:8" ht="29.4" hidden="1" thickBot="1" x14ac:dyDescent="0.35">
      <c r="A258" s="4" t="s">
        <v>906</v>
      </c>
      <c r="B258" s="4" t="s">
        <v>394</v>
      </c>
      <c r="C258" s="4" t="s">
        <v>907</v>
      </c>
      <c r="D258" t="str">
        <f t="shared" si="16"/>
        <v>47-06-46.5100N</v>
      </c>
      <c r="E258" t="str">
        <f t="shared" si="17"/>
        <v>124-32-14.2500W</v>
      </c>
      <c r="F258">
        <f t="shared" si="18"/>
        <v>47.112919444444444</v>
      </c>
      <c r="G258">
        <f t="shared" si="19"/>
        <v>-124.53729166666666</v>
      </c>
      <c r="H258" s="3" t="str">
        <f t="shared" si="20"/>
        <v>[444] = {["comment"] = "47-06-46.5100N 124-32-14.2500W", ["callsignStr"] = "HRBAU", ["latitude"] = 47.1129194444444, ["longitude"] = -124.537291666667 },</v>
      </c>
    </row>
    <row r="259" spans="1:8" ht="29.4" hidden="1" thickBot="1" x14ac:dyDescent="0.35">
      <c r="A259" s="4" t="s">
        <v>908</v>
      </c>
      <c r="B259" s="4" t="s">
        <v>394</v>
      </c>
      <c r="C259" s="4" t="s">
        <v>909</v>
      </c>
      <c r="D259" t="str">
        <f t="shared" ref="D259:D322" si="21">findLatitude(C259)</f>
        <v>06-43-24.0000N</v>
      </c>
      <c r="E259" t="str">
        <f t="shared" ref="E259:E322" si="22">findLongitude(C259)</f>
        <v>159-20-11.0000E</v>
      </c>
      <c r="F259">
        <f t="shared" ref="F259:F322" si="23">VALUE(MID(D259,1,2))+VALUE(MID(D259,4,2))/60+VALUE(MID(D259,7,7))/(1*3600)</f>
        <v>6.7233333333333336</v>
      </c>
      <c r="G259">
        <f t="shared" ref="G259:G322" si="24">(VALUE(MID(E259,1,3))+VALUE(MID(E259,5,2))/60+VALUE(MID(E259,8,7))/(1*3600))*IF(MID(E259,15,1)="E",1,-1)</f>
        <v>159.33638888888891</v>
      </c>
      <c r="H259" s="3" t="str">
        <f t="shared" ref="H259:H322" si="25">CONCATENATE("[",ROW()+$H$1-1,"] = {","[""comment""] = """,C259,""", ","[""callsignStr""] = """,A259,""", ","[""latitude""] = ",F259,", ","[""longitude""] = ",G259," },")</f>
        <v>[445] = {["comment"] = "06-43-24.0000N 159-20-11.0000E", ["callsignStr"] = "HULLE", ["latitude"] = 6.72333333333333, ["longitude"] = 159.336388888889 },</v>
      </c>
    </row>
    <row r="260" spans="1:8" ht="29.4" hidden="1" thickBot="1" x14ac:dyDescent="0.35">
      <c r="A260" s="4" t="s">
        <v>910</v>
      </c>
      <c r="B260" s="4" t="s">
        <v>394</v>
      </c>
      <c r="C260" s="4" t="s">
        <v>911</v>
      </c>
      <c r="D260" t="str">
        <f t="shared" si="21"/>
        <v>07-56-02.0000N</v>
      </c>
      <c r="E260" t="str">
        <f t="shared" si="22"/>
        <v>160-39-02.0000E</v>
      </c>
      <c r="F260">
        <f t="shared" si="23"/>
        <v>7.9338888888888892</v>
      </c>
      <c r="G260">
        <f t="shared" si="24"/>
        <v>160.65055555555557</v>
      </c>
      <c r="H260" s="3" t="str">
        <f t="shared" si="25"/>
        <v>[446] = {["comment"] = "07-56-02.0000N 160-39-02.0000E", ["callsignStr"] = "HUMDU", ["latitude"] = 7.93388888888889, ["longitude"] = 160.650555555556 },</v>
      </c>
    </row>
    <row r="261" spans="1:8" ht="29.4" hidden="1" thickBot="1" x14ac:dyDescent="0.35">
      <c r="A261" s="4" t="s">
        <v>912</v>
      </c>
      <c r="B261" s="4" t="s">
        <v>394</v>
      </c>
      <c r="C261" s="4" t="s">
        <v>913</v>
      </c>
      <c r="D261" t="str">
        <f t="shared" si="21"/>
        <v>08-45-15.0000N</v>
      </c>
      <c r="E261" t="str">
        <f t="shared" si="22"/>
        <v>165-06-28.0000E</v>
      </c>
      <c r="F261">
        <f t="shared" si="23"/>
        <v>8.7541666666666664</v>
      </c>
      <c r="G261">
        <f t="shared" si="24"/>
        <v>165.10777777777778</v>
      </c>
      <c r="H261" s="3" t="str">
        <f t="shared" si="25"/>
        <v>[447] = {["comment"] = "08-45-15.0000N 165-06-28.0000E", ["callsignStr"] = "HUMET", ["latitude"] = 8.75416666666667, ["longitude"] = 165.107777777778 },</v>
      </c>
    </row>
    <row r="262" spans="1:8" ht="29.4" hidden="1" thickBot="1" x14ac:dyDescent="0.35">
      <c r="A262" s="4" t="s">
        <v>914</v>
      </c>
      <c r="B262" s="4" t="s">
        <v>394</v>
      </c>
      <c r="C262" s="4" t="s">
        <v>915</v>
      </c>
      <c r="D262" t="str">
        <f t="shared" si="21"/>
        <v>36-55-45.0000N</v>
      </c>
      <c r="E262" t="str">
        <f t="shared" si="22"/>
        <v>123-34-00.0000W</v>
      </c>
      <c r="F262">
        <f t="shared" si="23"/>
        <v>36.929166666666667</v>
      </c>
      <c r="G262">
        <f t="shared" si="24"/>
        <v>-123.56666666666666</v>
      </c>
      <c r="H262" s="3" t="str">
        <f t="shared" si="25"/>
        <v>[448] = {["comment"] = "36-55-45.0000N 123-34-00.0000W", ["callsignStr"] = "HUNTS", ["latitude"] = 36.9291666666667, ["longitude"] = -123.566666666667 },</v>
      </c>
    </row>
    <row r="263" spans="1:8" ht="29.4" hidden="1" thickBot="1" x14ac:dyDescent="0.35">
      <c r="A263" s="4" t="s">
        <v>916</v>
      </c>
      <c r="B263" s="4" t="s">
        <v>394</v>
      </c>
      <c r="C263" s="4" t="s">
        <v>917</v>
      </c>
      <c r="D263" t="str">
        <f t="shared" si="21"/>
        <v>07-38-51.0000N</v>
      </c>
      <c r="E263" t="str">
        <f t="shared" si="22"/>
        <v>159-09-32.0000E</v>
      </c>
      <c r="F263">
        <f t="shared" si="23"/>
        <v>7.6475</v>
      </c>
      <c r="G263">
        <f t="shared" si="24"/>
        <v>159.1588888888889</v>
      </c>
      <c r="H263" s="3" t="str">
        <f t="shared" si="25"/>
        <v>[449] = {["comment"] = "07-38-51.0000N 159-09-32.0000E", ["callsignStr"] = "HURAT", ["latitude"] = 7.6475, ["longitude"] = 159.158888888889 },</v>
      </c>
    </row>
    <row r="264" spans="1:8" ht="29.4" hidden="1" thickBot="1" x14ac:dyDescent="0.35">
      <c r="A264" s="4" t="s">
        <v>918</v>
      </c>
      <c r="B264" s="4" t="s">
        <v>394</v>
      </c>
      <c r="C264" s="4" t="s">
        <v>919</v>
      </c>
      <c r="D264" t="str">
        <f t="shared" si="21"/>
        <v>09-22-36.0000N</v>
      </c>
      <c r="E264" t="str">
        <f t="shared" si="22"/>
        <v>145-18-48.0000E</v>
      </c>
      <c r="F264">
        <f t="shared" si="23"/>
        <v>9.3766666666666669</v>
      </c>
      <c r="G264">
        <f t="shared" si="24"/>
        <v>145.31333333333333</v>
      </c>
      <c r="H264" s="3" t="str">
        <f t="shared" si="25"/>
        <v>[450] = {["comment"] = "09-22-36.0000N 145-18-48.0000E", ["callsignStr"] = "HUTEL", ["latitude"] = 9.37666666666667, ["longitude"] = 145.313333333333 },</v>
      </c>
    </row>
    <row r="265" spans="1:8" ht="29.4" hidden="1" thickBot="1" x14ac:dyDescent="0.35">
      <c r="A265" s="4" t="s">
        <v>920</v>
      </c>
      <c r="B265" s="4" t="s">
        <v>394</v>
      </c>
      <c r="C265" s="4" t="s">
        <v>921</v>
      </c>
      <c r="D265" t="str">
        <f t="shared" si="21"/>
        <v>34-12-05.8100N</v>
      </c>
      <c r="E265" t="str">
        <f t="shared" si="22"/>
        <v>120-03-57.1300W</v>
      </c>
      <c r="F265">
        <f t="shared" si="23"/>
        <v>34.201613888888893</v>
      </c>
      <c r="G265">
        <f t="shared" si="24"/>
        <v>-120.06586944444444</v>
      </c>
      <c r="H265" s="3" t="str">
        <f t="shared" si="25"/>
        <v>[451] = {["comment"] = "34-12-05.8100N 120-03-57.1300W", ["callsignStr"] = "HUULL", ["latitude"] = 34.2016138888889, ["longitude"] = -120.065869444444 },</v>
      </c>
    </row>
    <row r="266" spans="1:8" ht="29.4" thickBot="1" x14ac:dyDescent="0.35">
      <c r="A266" s="4" t="s">
        <v>922</v>
      </c>
      <c r="B266" s="4" t="s">
        <v>394</v>
      </c>
      <c r="C266" s="4" t="s">
        <v>923</v>
      </c>
      <c r="D266" t="str">
        <f t="shared" si="21"/>
        <v>11-23-18.0000N</v>
      </c>
      <c r="E266" t="str">
        <f t="shared" si="22"/>
        <v>141-15-48.0000E</v>
      </c>
      <c r="F266">
        <f t="shared" si="23"/>
        <v>11.388333333333334</v>
      </c>
      <c r="G266">
        <f t="shared" si="24"/>
        <v>141.26333333333332</v>
      </c>
      <c r="H266" s="3" t="str">
        <f t="shared" si="25"/>
        <v>[452] = {["comment"] = "11-23-18.0000N 141-15-48.0000E", ["callsignStr"] = "IDAAS", ["latitude"] = 11.3883333333333, ["longitude"] = 141.263333333333 },</v>
      </c>
    </row>
    <row r="267" spans="1:8" ht="29.4" hidden="1" thickBot="1" x14ac:dyDescent="0.35">
      <c r="A267" s="4" t="s">
        <v>924</v>
      </c>
      <c r="B267" s="4" t="s">
        <v>394</v>
      </c>
      <c r="C267" s="4" t="s">
        <v>925</v>
      </c>
      <c r="D267" t="str">
        <f t="shared" si="21"/>
        <v>26-08-41.0000N</v>
      </c>
      <c r="E267" t="str">
        <f t="shared" si="22"/>
        <v>158-37-19.0000W</v>
      </c>
      <c r="F267">
        <f t="shared" si="23"/>
        <v>26.144722222222221</v>
      </c>
      <c r="G267">
        <f t="shared" si="24"/>
        <v>-158.62194444444447</v>
      </c>
      <c r="H267" s="3" t="str">
        <f t="shared" si="25"/>
        <v>[453] = {["comment"] = "26-08-41.0000N 158-37-19.0000W", ["callsignStr"] = "IDAVE", ["latitude"] = 26.1447222222222, ["longitude"] = -158.621944444444 },</v>
      </c>
    </row>
    <row r="268" spans="1:8" ht="29.4" hidden="1" thickBot="1" x14ac:dyDescent="0.35">
      <c r="A268" s="4" t="s">
        <v>926</v>
      </c>
      <c r="B268" s="4" t="s">
        <v>394</v>
      </c>
      <c r="C268" s="4" t="s">
        <v>927</v>
      </c>
      <c r="D268" t="str">
        <f t="shared" si="21"/>
        <v>32-02-00.0000N</v>
      </c>
      <c r="E268" t="str">
        <f t="shared" si="22"/>
        <v>120-22-42.0000W</v>
      </c>
      <c r="F268">
        <f t="shared" si="23"/>
        <v>32.033333333333331</v>
      </c>
      <c r="G268">
        <f t="shared" si="24"/>
        <v>-120.37833333333333</v>
      </c>
      <c r="H268" s="3" t="str">
        <f t="shared" si="25"/>
        <v>[454] = {["comment"] = "32-02-00.0000N 120-22-42.0000W", ["callsignStr"] = "IGOTT", ["latitude"] = 32.0333333333333, ["longitude"] = -120.378333333333 },</v>
      </c>
    </row>
    <row r="269" spans="1:8" ht="29.4" hidden="1" thickBot="1" x14ac:dyDescent="0.35">
      <c r="A269" s="4" t="s">
        <v>928</v>
      </c>
      <c r="B269" s="4" t="s">
        <v>394</v>
      </c>
      <c r="C269" s="4" t="s">
        <v>929</v>
      </c>
      <c r="D269" t="str">
        <f t="shared" si="21"/>
        <v>55-55-00.0000N</v>
      </c>
      <c r="E269" t="str">
        <f t="shared" si="22"/>
        <v>144-20-00.0000W</v>
      </c>
      <c r="F269">
        <f t="shared" si="23"/>
        <v>55.916666666666664</v>
      </c>
      <c r="G269">
        <f t="shared" si="24"/>
        <v>-144.33333333333334</v>
      </c>
      <c r="H269" s="3" t="str">
        <f t="shared" si="25"/>
        <v>[455] = {["comment"] = "55-55-00.0000N 144-20-00.0000W", ["callsignStr"] = "IIVRY", ["latitude"] = 55.9166666666667, ["longitude"] = -144.333333333333 },</v>
      </c>
    </row>
    <row r="270" spans="1:8" ht="15" hidden="1" thickBot="1" x14ac:dyDescent="0.35">
      <c r="A270" s="4" t="s">
        <v>930</v>
      </c>
      <c r="B270" s="4" t="s">
        <v>394</v>
      </c>
      <c r="C270" s="4" t="s">
        <v>931</v>
      </c>
      <c r="D270" t="str">
        <f t="shared" si="21"/>
        <v>09-14-42.0000N</v>
      </c>
      <c r="E270" t="str">
        <f t="shared" si="22"/>
        <v>130-00-00.0000E</v>
      </c>
      <c r="F270">
        <f t="shared" si="23"/>
        <v>9.2449999999999992</v>
      </c>
      <c r="G270">
        <f t="shared" si="24"/>
        <v>130</v>
      </c>
      <c r="H270" s="3" t="str">
        <f t="shared" si="25"/>
        <v>[456] = {["comment"] = "09-14-42.0000N 130-00-00.0000E", ["callsignStr"] = "ISGOG", ["latitude"] = 9.245, ["longitude"] = 130 },</v>
      </c>
    </row>
    <row r="271" spans="1:8" ht="29.4" hidden="1" thickBot="1" x14ac:dyDescent="0.35">
      <c r="A271" s="4" t="s">
        <v>932</v>
      </c>
      <c r="B271" s="4" t="s">
        <v>394</v>
      </c>
      <c r="C271" s="4" t="s">
        <v>933</v>
      </c>
      <c r="D271" t="str">
        <f t="shared" si="21"/>
        <v>07-52-14.0000N</v>
      </c>
      <c r="E271" t="str">
        <f t="shared" si="22"/>
        <v>152-55-25.0000E</v>
      </c>
      <c r="F271">
        <f t="shared" si="23"/>
        <v>7.8705555555555557</v>
      </c>
      <c r="G271">
        <f t="shared" si="24"/>
        <v>152.92361111111111</v>
      </c>
      <c r="H271" s="3" t="str">
        <f t="shared" si="25"/>
        <v>[457] = {["comment"] = "07-52-14.0000N 152-55-25.0000E", ["callsignStr"] = "JABEE", ["latitude"] = 7.87055555555556, ["longitude"] = 152.923611111111 },</v>
      </c>
    </row>
    <row r="272" spans="1:8" ht="29.4" hidden="1" thickBot="1" x14ac:dyDescent="0.35">
      <c r="A272" s="4" t="s">
        <v>934</v>
      </c>
      <c r="B272" s="4" t="s">
        <v>394</v>
      </c>
      <c r="C272" s="4" t="s">
        <v>935</v>
      </c>
      <c r="D272" t="str">
        <f t="shared" si="21"/>
        <v>07-45-17.0000N</v>
      </c>
      <c r="E272" t="str">
        <f t="shared" si="22"/>
        <v>154-26-11.0000E</v>
      </c>
      <c r="F272">
        <f t="shared" si="23"/>
        <v>7.7547222222222221</v>
      </c>
      <c r="G272">
        <f t="shared" si="24"/>
        <v>154.4363888888889</v>
      </c>
      <c r="H272" s="3" t="str">
        <f t="shared" si="25"/>
        <v>[458] = {["comment"] = "07-45-17.0000N 154-26-11.0000E", ["callsignStr"] = "JAMAR", ["latitude"] = 7.75472222222222, ["longitude"] = 154.436388888889 },</v>
      </c>
    </row>
    <row r="273" spans="1:8" ht="29.4" hidden="1" thickBot="1" x14ac:dyDescent="0.35">
      <c r="A273" s="4" t="s">
        <v>936</v>
      </c>
      <c r="B273" s="4" t="s">
        <v>394</v>
      </c>
      <c r="C273" s="4" t="s">
        <v>937</v>
      </c>
      <c r="D273" t="str">
        <f t="shared" si="21"/>
        <v>07-39-22.0000N</v>
      </c>
      <c r="E273" t="str">
        <f t="shared" si="22"/>
        <v>155-40-03.0000E</v>
      </c>
      <c r="F273">
        <f t="shared" si="23"/>
        <v>7.6561111111111115</v>
      </c>
      <c r="G273">
        <f t="shared" si="24"/>
        <v>155.66749999999999</v>
      </c>
      <c r="H273" s="3" t="str">
        <f t="shared" si="25"/>
        <v>[459] = {["comment"] = "07-39-22.0000N 155-40-03.0000E", ["callsignStr"] = "JARAY", ["latitude"] = 7.65611111111111, ["longitude"] = 155.6675 },</v>
      </c>
    </row>
    <row r="274" spans="1:8" ht="29.4" hidden="1" thickBot="1" x14ac:dyDescent="0.35">
      <c r="A274" s="4" t="s">
        <v>938</v>
      </c>
      <c r="B274" s="4" t="s">
        <v>394</v>
      </c>
      <c r="C274" s="4" t="s">
        <v>939</v>
      </c>
      <c r="D274" t="str">
        <f t="shared" si="21"/>
        <v>07-31-54.0000N</v>
      </c>
      <c r="E274" t="str">
        <f t="shared" si="22"/>
        <v>157-10-16.0000E</v>
      </c>
      <c r="F274">
        <f t="shared" si="23"/>
        <v>7.5316666666666663</v>
      </c>
      <c r="G274">
        <f t="shared" si="24"/>
        <v>157.17111111111109</v>
      </c>
      <c r="H274" s="3" t="str">
        <f t="shared" si="25"/>
        <v>[460] = {["comment"] = "07-31-54.0000N 157-10-16.0000E", ["callsignStr"] = "JAYPE", ["latitude"] = 7.53166666666667, ["longitude"] = 157.171111111111 },</v>
      </c>
    </row>
    <row r="275" spans="1:8" ht="29.4" hidden="1" thickBot="1" x14ac:dyDescent="0.35">
      <c r="A275" s="4" t="s">
        <v>940</v>
      </c>
      <c r="B275" s="4" t="s">
        <v>394</v>
      </c>
      <c r="C275" s="4" t="s">
        <v>941</v>
      </c>
      <c r="D275" t="str">
        <f t="shared" si="21"/>
        <v>74-56-48.0000N</v>
      </c>
      <c r="E275" t="str">
        <f t="shared" si="22"/>
        <v>141-00-00.0000W</v>
      </c>
      <c r="F275">
        <f t="shared" si="23"/>
        <v>74.946666666666673</v>
      </c>
      <c r="G275">
        <f t="shared" si="24"/>
        <v>-141</v>
      </c>
      <c r="H275" s="3" t="str">
        <f t="shared" si="25"/>
        <v>[461] = {["comment"] = "74-56-48.0000N 141-00-00.0000W", ["callsignStr"] = "JESRU", ["latitude"] = 74.9466666666667, ["longitude"] = -141 },</v>
      </c>
    </row>
    <row r="276" spans="1:8" ht="29.4" hidden="1" thickBot="1" x14ac:dyDescent="0.35">
      <c r="A276" s="4" t="s">
        <v>942</v>
      </c>
      <c r="B276" s="4" t="s">
        <v>394</v>
      </c>
      <c r="C276" s="4" t="s">
        <v>943</v>
      </c>
      <c r="D276" t="str">
        <f t="shared" si="21"/>
        <v>37-39-09.2200N</v>
      </c>
      <c r="E276" t="str">
        <f t="shared" si="22"/>
        <v>123-06-39.8500W</v>
      </c>
      <c r="F276">
        <f t="shared" si="23"/>
        <v>37.652561111111112</v>
      </c>
      <c r="G276">
        <f t="shared" si="24"/>
        <v>-123.11106944444444</v>
      </c>
      <c r="H276" s="3" t="str">
        <f t="shared" si="25"/>
        <v>[462] = {["comment"] = "37-39-09.2200N 123-06-39.8500W", ["callsignStr"] = "JESTE", ["latitude"] = 37.6525611111111, ["longitude"] = -123.111069444444 },</v>
      </c>
    </row>
    <row r="277" spans="1:8" ht="29.4" hidden="1" thickBot="1" x14ac:dyDescent="0.35">
      <c r="A277" s="4" t="s">
        <v>944</v>
      </c>
      <c r="B277" s="4" t="s">
        <v>394</v>
      </c>
      <c r="C277" s="4" t="s">
        <v>945</v>
      </c>
      <c r="D277" t="str">
        <f t="shared" si="21"/>
        <v>17-03-31.0000N</v>
      </c>
      <c r="E277" t="str">
        <f t="shared" si="22"/>
        <v>157-44-57.0000E</v>
      </c>
      <c r="F277">
        <f t="shared" si="23"/>
        <v>17.058611111111112</v>
      </c>
      <c r="G277">
        <f t="shared" si="24"/>
        <v>157.74916666666667</v>
      </c>
      <c r="H277" s="3" t="str">
        <f t="shared" si="25"/>
        <v>[463] = {["comment"] = "17-03-31.0000N 157-44-57.0000E", ["callsignStr"] = "JIMOS", ["latitude"] = 17.0586111111111, ["longitude"] = 157.749166666667 },</v>
      </c>
    </row>
    <row r="278" spans="1:8" ht="29.4" hidden="1" thickBot="1" x14ac:dyDescent="0.35">
      <c r="A278" s="4" t="s">
        <v>946</v>
      </c>
      <c r="B278" s="4" t="s">
        <v>394</v>
      </c>
      <c r="C278" s="4" t="s">
        <v>947</v>
      </c>
      <c r="D278" t="str">
        <f t="shared" si="21"/>
        <v>06-35-39.0000N</v>
      </c>
      <c r="E278" t="str">
        <f t="shared" si="22"/>
        <v>157-05-28.0000E</v>
      </c>
      <c r="F278">
        <f t="shared" si="23"/>
        <v>6.5941666666666663</v>
      </c>
      <c r="G278">
        <f t="shared" si="24"/>
        <v>157.09111111111113</v>
      </c>
      <c r="H278" s="3" t="str">
        <f t="shared" si="25"/>
        <v>[464] = {["comment"] = "06-35-39.0000N 157-05-28.0000E", ["callsignStr"] = "JIXAL", ["latitude"] = 6.59416666666667, ["longitude"] = 157.091111111111 },</v>
      </c>
    </row>
    <row r="279" spans="1:8" ht="29.4" thickBot="1" x14ac:dyDescent="0.35">
      <c r="A279" s="4" t="s">
        <v>948</v>
      </c>
      <c r="B279" s="4" t="s">
        <v>394</v>
      </c>
      <c r="C279" s="4" t="s">
        <v>949</v>
      </c>
      <c r="D279" t="str">
        <f t="shared" si="21"/>
        <v>12-34-00.0000N</v>
      </c>
      <c r="E279" t="str">
        <f t="shared" si="22"/>
        <v>140-45-00.0000E</v>
      </c>
      <c r="F279">
        <f t="shared" si="23"/>
        <v>12.566666666666666</v>
      </c>
      <c r="G279">
        <f t="shared" si="24"/>
        <v>140.75</v>
      </c>
      <c r="H279" s="3" t="str">
        <f t="shared" si="25"/>
        <v>[465] = {["comment"] = "12-34-00.0000N 140-45-00.0000E", ["callsignStr"] = "JOBSS", ["latitude"] = 12.5666666666667, ["longitude"] = 140.75 },</v>
      </c>
    </row>
    <row r="280" spans="1:8" ht="29.4" hidden="1" thickBot="1" x14ac:dyDescent="0.35">
      <c r="A280" s="4" t="s">
        <v>950</v>
      </c>
      <c r="B280" s="4" t="s">
        <v>394</v>
      </c>
      <c r="C280" s="4" t="s">
        <v>951</v>
      </c>
      <c r="D280" t="str">
        <f t="shared" si="21"/>
        <v>21-40-06.4500N</v>
      </c>
      <c r="E280" t="str">
        <f t="shared" si="22"/>
        <v>157-11-14.0800W</v>
      </c>
      <c r="F280">
        <f t="shared" si="23"/>
        <v>21.668458333333334</v>
      </c>
      <c r="G280">
        <f t="shared" si="24"/>
        <v>-157.18724444444445</v>
      </c>
      <c r="H280" s="3" t="str">
        <f t="shared" si="25"/>
        <v>[466] = {["comment"] = "MKK*C*347.00/31.73 CKH*C*039.03/37.61 21-40-06.4500N 157-11-14.0800W", ["callsignStr"] = "JOELE", ["latitude"] = 21.6684583333333, ["longitude"] = -157.187244444444 },</v>
      </c>
    </row>
    <row r="281" spans="1:8" ht="29.4" hidden="1" thickBot="1" x14ac:dyDescent="0.35">
      <c r="A281" s="4" t="s">
        <v>952</v>
      </c>
      <c r="B281" s="4" t="s">
        <v>394</v>
      </c>
      <c r="C281" s="4" t="s">
        <v>953</v>
      </c>
      <c r="D281" t="str">
        <f t="shared" si="21"/>
        <v>16-41-19.1300N</v>
      </c>
      <c r="E281" t="str">
        <f t="shared" si="22"/>
        <v>169-37-29.7600W</v>
      </c>
      <c r="F281">
        <f t="shared" si="23"/>
        <v>16.688647222222222</v>
      </c>
      <c r="G281">
        <f t="shared" si="24"/>
        <v>-169.62493333333333</v>
      </c>
      <c r="H281" s="3" t="str">
        <f t="shared" si="25"/>
        <v>[467] = {["comment"] = "16-41-19.1300N 169-37-29.7600W", ["callsignStr"] = "JOISY", ["latitude"] = 16.6886472222222, ["longitude"] = -169.624933333333 },</v>
      </c>
    </row>
    <row r="282" spans="1:8" ht="29.4" hidden="1" thickBot="1" x14ac:dyDescent="0.35">
      <c r="A282" s="4" t="s">
        <v>954</v>
      </c>
      <c r="B282" s="4" t="s">
        <v>394</v>
      </c>
      <c r="C282" s="4" t="s">
        <v>955</v>
      </c>
      <c r="D282" t="str">
        <f t="shared" si="21"/>
        <v>21-09-40.3000N</v>
      </c>
      <c r="E282" t="str">
        <f t="shared" si="22"/>
        <v>155-10-22.2000W</v>
      </c>
      <c r="F282">
        <f t="shared" si="23"/>
        <v>21.161194444444444</v>
      </c>
      <c r="G282">
        <f t="shared" si="24"/>
        <v>-155.17283333333333</v>
      </c>
      <c r="H282" s="3" t="str">
        <f t="shared" si="25"/>
        <v>[468] = {["comment"] = "21-09-40.3000N 155-10-22.2000W", ["callsignStr"] = "JOLIU", ["latitude"] = 21.1611944444444, ["longitude"] = -155.172833333333 },</v>
      </c>
    </row>
    <row r="283" spans="1:8" ht="29.4" hidden="1" thickBot="1" x14ac:dyDescent="0.35">
      <c r="A283" s="4" t="s">
        <v>956</v>
      </c>
      <c r="B283" s="4" t="s">
        <v>394</v>
      </c>
      <c r="C283" s="4" t="s">
        <v>957</v>
      </c>
      <c r="D283" t="str">
        <f t="shared" si="21"/>
        <v>06-48-53.0000N</v>
      </c>
      <c r="E283" t="str">
        <f t="shared" si="22"/>
        <v>154-22-57.0000E</v>
      </c>
      <c r="F283">
        <f t="shared" si="23"/>
        <v>6.8147222222222217</v>
      </c>
      <c r="G283">
        <f t="shared" si="24"/>
        <v>154.38250000000002</v>
      </c>
      <c r="H283" s="3" t="str">
        <f t="shared" si="25"/>
        <v>[469] = {["comment"] = "06-48-53.0000N 154-22-57.0000E", ["callsignStr"] = "JUPET", ["latitude"] = 6.81472222222222, ["longitude"] = 154.3825 },</v>
      </c>
    </row>
    <row r="284" spans="1:8" ht="29.4" hidden="1" thickBot="1" x14ac:dyDescent="0.35">
      <c r="A284" s="4" t="s">
        <v>958</v>
      </c>
      <c r="B284" s="4" t="s">
        <v>394</v>
      </c>
      <c r="C284" s="4" t="s">
        <v>959</v>
      </c>
      <c r="D284" t="str">
        <f t="shared" si="21"/>
        <v>06-43-08.0000N</v>
      </c>
      <c r="E284" t="str">
        <f t="shared" si="22"/>
        <v>155-34-57.0000E</v>
      </c>
      <c r="F284">
        <f t="shared" si="23"/>
        <v>6.7188888888888894</v>
      </c>
      <c r="G284">
        <f t="shared" si="24"/>
        <v>155.58250000000001</v>
      </c>
      <c r="H284" s="3" t="str">
        <f t="shared" si="25"/>
        <v>[470] = {["comment"] = "06-43-08.0000N 155-34-57.0000E", ["callsignStr"] = "JUPNA", ["latitude"] = 6.71888888888889, ["longitude"] = 155.5825 },</v>
      </c>
    </row>
    <row r="285" spans="1:8" ht="29.4" hidden="1" thickBot="1" x14ac:dyDescent="0.35">
      <c r="A285" s="4" t="s">
        <v>960</v>
      </c>
      <c r="B285" s="4" t="s">
        <v>394</v>
      </c>
      <c r="C285" s="4" t="s">
        <v>961</v>
      </c>
      <c r="D285" t="str">
        <f t="shared" si="21"/>
        <v>06-55-51.0000N</v>
      </c>
      <c r="E285" t="str">
        <f t="shared" si="22"/>
        <v>152-52-19.0000E</v>
      </c>
      <c r="F285">
        <f t="shared" si="23"/>
        <v>6.9308333333333341</v>
      </c>
      <c r="G285">
        <f t="shared" si="24"/>
        <v>152.87194444444447</v>
      </c>
      <c r="H285" s="3" t="str">
        <f t="shared" si="25"/>
        <v>[471] = {["comment"] = "06-55-51.0000N 152-52-19.0000E", ["callsignStr"] = "JUTIN", ["latitude"] = 6.93083333333333, ["longitude"] = 152.871944444444 },</v>
      </c>
    </row>
    <row r="286" spans="1:8" ht="29.4" hidden="1" thickBot="1" x14ac:dyDescent="0.35">
      <c r="A286" s="4" t="s">
        <v>962</v>
      </c>
      <c r="B286" s="4" t="s">
        <v>394</v>
      </c>
      <c r="C286" s="4" t="s">
        <v>963</v>
      </c>
      <c r="D286" t="str">
        <f t="shared" si="21"/>
        <v>34-01-09.5500N</v>
      </c>
      <c r="E286" t="str">
        <f t="shared" si="22"/>
        <v>118-33-14.6800W</v>
      </c>
      <c r="F286">
        <f t="shared" si="23"/>
        <v>34.019319444444442</v>
      </c>
      <c r="G286">
        <f t="shared" si="24"/>
        <v>-118.55407777777778</v>
      </c>
      <c r="H286" s="3" t="str">
        <f t="shared" si="25"/>
        <v>[472] = {["comment"] = "34-01-09.5500N 118-33-14.6800W", ["callsignStr"] = "JUUSE", ["latitude"] = 34.0193194444444, ["longitude"] = -118.554077777778 },</v>
      </c>
    </row>
    <row r="287" spans="1:8" ht="29.4" hidden="1" thickBot="1" x14ac:dyDescent="0.35">
      <c r="A287" s="4" t="s">
        <v>964</v>
      </c>
      <c r="B287" s="4" t="s">
        <v>394</v>
      </c>
      <c r="C287" s="4" t="s">
        <v>965</v>
      </c>
      <c r="D287" t="str">
        <f t="shared" si="21"/>
        <v>20-35-29.5900N</v>
      </c>
      <c r="E287" t="str">
        <f t="shared" si="22"/>
        <v>154-52-37.7700W</v>
      </c>
      <c r="F287">
        <f t="shared" si="23"/>
        <v>20.591552777777778</v>
      </c>
      <c r="G287">
        <f t="shared" si="24"/>
        <v>-154.87715833333334</v>
      </c>
      <c r="H287" s="3" t="str">
        <f t="shared" si="25"/>
        <v>[473] = {["comment"] = "20-35-29.5900N 154-52-37.7700W", ["callsignStr"] = "KAGGA", ["latitude"] = 20.5915527777778, ["longitude"] = -154.877158333333 },</v>
      </c>
    </row>
    <row r="288" spans="1:8" ht="15" hidden="1" thickBot="1" x14ac:dyDescent="0.35">
      <c r="A288" s="4" t="s">
        <v>966</v>
      </c>
      <c r="B288" s="4" t="s">
        <v>394</v>
      </c>
      <c r="C288" s="4" t="s">
        <v>967</v>
      </c>
      <c r="D288" t="str">
        <f t="shared" si="21"/>
        <v>00-00-00.0000S</v>
      </c>
      <c r="E288" t="str">
        <f t="shared" si="22"/>
        <v>142-00-00.0000E</v>
      </c>
      <c r="F288">
        <f t="shared" si="23"/>
        <v>0</v>
      </c>
      <c r="G288">
        <f t="shared" si="24"/>
        <v>142</v>
      </c>
      <c r="H288" s="3" t="str">
        <f t="shared" si="25"/>
        <v>[474] = {["comment"] = "00-00-00.0000S 142-00-00.0000E", ["callsignStr"] = "KALIN", ["latitude"] = 0, ["longitude"] = 142 },</v>
      </c>
    </row>
    <row r="289" spans="1:8" ht="29.4" hidden="1" thickBot="1" x14ac:dyDescent="0.35">
      <c r="A289" s="4" t="s">
        <v>968</v>
      </c>
      <c r="B289" s="4" t="s">
        <v>394</v>
      </c>
      <c r="C289" s="4" t="s">
        <v>969</v>
      </c>
      <c r="D289" t="str">
        <f t="shared" si="21"/>
        <v>47-41-30.0000N</v>
      </c>
      <c r="E289" t="str">
        <f t="shared" si="22"/>
        <v>129-46-06.0000W</v>
      </c>
      <c r="F289">
        <f t="shared" si="23"/>
        <v>47.691666666666663</v>
      </c>
      <c r="G289">
        <f t="shared" si="24"/>
        <v>-129.76833333333335</v>
      </c>
      <c r="H289" s="3" t="str">
        <f t="shared" si="25"/>
        <v>[475] = {["comment"] = "47-41-30.0000N 129-46-06.0000W", ["callsignStr"] = "KANUA", ["latitude"] = 47.6916666666667, ["longitude"] = -129.768333333333 },</v>
      </c>
    </row>
    <row r="290" spans="1:8" ht="29.4" hidden="1" thickBot="1" x14ac:dyDescent="0.35">
      <c r="A290" s="4" t="s">
        <v>970</v>
      </c>
      <c r="B290" s="4" t="s">
        <v>394</v>
      </c>
      <c r="C290" s="4" t="s">
        <v>971</v>
      </c>
      <c r="D290" t="str">
        <f t="shared" si="21"/>
        <v>06-12-36.0000N</v>
      </c>
      <c r="E290" t="str">
        <f t="shared" si="22"/>
        <v>159-04-05.0000E</v>
      </c>
      <c r="F290">
        <f t="shared" si="23"/>
        <v>6.21</v>
      </c>
      <c r="G290">
        <f t="shared" si="24"/>
        <v>159.06805555555556</v>
      </c>
      <c r="H290" s="3" t="str">
        <f t="shared" si="25"/>
        <v>[476] = {["comment"] = "06-12-36.0000N 159-04-05.0000E", ["callsignStr"] = "KATHZ", ["latitude"] = 6.21, ["longitude"] = 159.068055555556 },</v>
      </c>
    </row>
    <row r="291" spans="1:8" ht="29.4" hidden="1" thickBot="1" x14ac:dyDescent="0.35">
      <c r="A291" s="4" t="s">
        <v>972</v>
      </c>
      <c r="B291" s="4" t="s">
        <v>394</v>
      </c>
      <c r="C291" s="4" t="s">
        <v>973</v>
      </c>
      <c r="D291" t="str">
        <f t="shared" si="21"/>
        <v>05-44-05.0000N</v>
      </c>
      <c r="E291" t="str">
        <f t="shared" si="22"/>
        <v>160-26-19.0000E</v>
      </c>
      <c r="F291">
        <f t="shared" si="23"/>
        <v>5.7347222222222225</v>
      </c>
      <c r="G291">
        <f t="shared" si="24"/>
        <v>160.43861111111113</v>
      </c>
      <c r="H291" s="3" t="str">
        <f t="shared" si="25"/>
        <v>[477] = {["comment"] = "05-44-05.0000N 160-26-19.0000E", ["callsignStr"] = "KAVLE", ["latitude"] = 5.73472222222222, ["longitude"] = 160.438611111111 },</v>
      </c>
    </row>
    <row r="292" spans="1:8" ht="29.4" hidden="1" thickBot="1" x14ac:dyDescent="0.35">
      <c r="A292" s="4" t="s">
        <v>974</v>
      </c>
      <c r="B292" s="4" t="s">
        <v>394</v>
      </c>
      <c r="C292" s="4" t="s">
        <v>975</v>
      </c>
      <c r="D292" t="str">
        <f t="shared" si="21"/>
        <v>05-15-18.0000N</v>
      </c>
      <c r="E292" t="str">
        <f t="shared" si="22"/>
        <v>161-48-31.0000E</v>
      </c>
      <c r="F292">
        <f t="shared" si="23"/>
        <v>5.2549999999999999</v>
      </c>
      <c r="G292">
        <f t="shared" si="24"/>
        <v>161.80861111111113</v>
      </c>
      <c r="H292" s="3" t="str">
        <f t="shared" si="25"/>
        <v>[478] = {["comment"] = "05-15-18.0000N 161-48-31.0000E", ["callsignStr"] = "KEALA", ["latitude"] = 5.255, ["longitude"] = 161.808611111111 },</v>
      </c>
    </row>
    <row r="293" spans="1:8" ht="29.4" hidden="1" thickBot="1" x14ac:dyDescent="0.35">
      <c r="A293" s="4" t="s">
        <v>976</v>
      </c>
      <c r="B293" s="4" t="s">
        <v>394</v>
      </c>
      <c r="C293" s="4" t="s">
        <v>977</v>
      </c>
      <c r="D293" t="str">
        <f t="shared" si="21"/>
        <v>21-00-00.0000N</v>
      </c>
      <c r="E293" t="str">
        <f t="shared" si="22"/>
        <v>134-56-48.0000E</v>
      </c>
      <c r="F293">
        <f t="shared" si="23"/>
        <v>21</v>
      </c>
      <c r="G293">
        <f t="shared" si="24"/>
        <v>134.94666666666666</v>
      </c>
      <c r="H293" s="3" t="str">
        <f t="shared" si="25"/>
        <v>[479] = {["comment"] = "21-00-00.0000N 134-56-48.0000E", ["callsignStr"] = "KEITH", ["latitude"] = 21, ["longitude"] = 134.946666666667 },</v>
      </c>
    </row>
    <row r="294" spans="1:8" ht="29.4" hidden="1" thickBot="1" x14ac:dyDescent="0.35">
      <c r="A294" s="4" t="s">
        <v>978</v>
      </c>
      <c r="B294" s="4" t="s">
        <v>394</v>
      </c>
      <c r="C294" s="4" t="s">
        <v>979</v>
      </c>
      <c r="D294" t="str">
        <f t="shared" si="21"/>
        <v>06-08-44.0000N</v>
      </c>
      <c r="E294" t="str">
        <f t="shared" si="22"/>
        <v>162-06-47.0000E</v>
      </c>
      <c r="F294">
        <f t="shared" si="23"/>
        <v>6.1455555555555561</v>
      </c>
      <c r="G294">
        <f t="shared" si="24"/>
        <v>162.11305555555555</v>
      </c>
      <c r="H294" s="3" t="str">
        <f t="shared" si="25"/>
        <v>[480] = {["comment"] = "06-08-44.0000N 162-06-47.0000E", ["callsignStr"] = "KEMLE", ["latitude"] = 6.14555555555556, ["longitude"] = 162.113055555556 },</v>
      </c>
    </row>
    <row r="295" spans="1:8" ht="29.4" hidden="1" thickBot="1" x14ac:dyDescent="0.35">
      <c r="A295" s="4" t="s">
        <v>980</v>
      </c>
      <c r="B295" s="4" t="s">
        <v>394</v>
      </c>
      <c r="C295" s="4" t="s">
        <v>981</v>
      </c>
      <c r="D295" t="str">
        <f t="shared" si="21"/>
        <v>04-00-00.0000N</v>
      </c>
      <c r="E295" t="str">
        <f t="shared" si="22"/>
        <v>141-55-00.0000E</v>
      </c>
      <c r="F295">
        <f t="shared" si="23"/>
        <v>4</v>
      </c>
      <c r="G295">
        <f t="shared" si="24"/>
        <v>141.91666666666666</v>
      </c>
      <c r="H295" s="3" t="str">
        <f t="shared" si="25"/>
        <v>[481] = {["comment"] = "04-00-00.0000N 141-55-00.0000E", ["callsignStr"] = "KEONE", ["latitude"] = 4, ["longitude"] = 141.916666666667 },</v>
      </c>
    </row>
    <row r="296" spans="1:8" ht="29.4" thickBot="1" x14ac:dyDescent="0.35">
      <c r="A296" s="4" t="s">
        <v>982</v>
      </c>
      <c r="B296" s="4" t="s">
        <v>394</v>
      </c>
      <c r="C296" s="4" t="s">
        <v>983</v>
      </c>
      <c r="D296" t="str">
        <f t="shared" si="21"/>
        <v>12-10-00.0000N</v>
      </c>
      <c r="E296" t="str">
        <f t="shared" si="22"/>
        <v>138-38-48.0000E</v>
      </c>
      <c r="F296">
        <f t="shared" si="23"/>
        <v>12.166666666666666</v>
      </c>
      <c r="G296">
        <f t="shared" si="24"/>
        <v>138.64666666666665</v>
      </c>
      <c r="H296" s="3" t="str">
        <f t="shared" si="25"/>
        <v>[482] = {["comment"] = "12-10-00.0000N 138-38-48.0000E", ["callsignStr"] = "KERNE", ["latitude"] = 12.1666666666667, ["longitude"] = 138.646666666667 },</v>
      </c>
    </row>
    <row r="297" spans="1:8" ht="29.4" hidden="1" thickBot="1" x14ac:dyDescent="0.35">
      <c r="A297" s="4" t="s">
        <v>984</v>
      </c>
      <c r="B297" s="4" t="s">
        <v>394</v>
      </c>
      <c r="C297" s="4" t="s">
        <v>985</v>
      </c>
      <c r="D297" t="str">
        <f t="shared" si="21"/>
        <v>15-50-00.0000N</v>
      </c>
      <c r="E297" t="str">
        <f t="shared" si="22"/>
        <v>152-08-30.0000E</v>
      </c>
      <c r="F297">
        <f t="shared" si="23"/>
        <v>15.833333333333334</v>
      </c>
      <c r="G297">
        <f t="shared" si="24"/>
        <v>152.14166666666665</v>
      </c>
      <c r="H297" s="3" t="str">
        <f t="shared" si="25"/>
        <v>[483] = {["comment"] = "15-50-00.0000N 152-08-30.0000E", ["callsignStr"] = "KERRY", ["latitude"] = 15.8333333333333, ["longitude"] = 152.141666666667 },</v>
      </c>
    </row>
    <row r="298" spans="1:8" ht="15" hidden="1" thickBot="1" x14ac:dyDescent="0.35">
      <c r="A298" s="4" t="s">
        <v>986</v>
      </c>
      <c r="B298" s="4" t="s">
        <v>394</v>
      </c>
      <c r="C298" s="4" t="s">
        <v>987</v>
      </c>
      <c r="D298" t="str">
        <f t="shared" si="21"/>
        <v>05-00-00.0000N</v>
      </c>
      <c r="E298" t="str">
        <f t="shared" si="22"/>
        <v>148-05-24.0000E</v>
      </c>
      <c r="F298">
        <f t="shared" si="23"/>
        <v>5</v>
      </c>
      <c r="G298">
        <f t="shared" si="24"/>
        <v>148.09</v>
      </c>
      <c r="H298" s="3" t="str">
        <f t="shared" si="25"/>
        <v>[484] = {["comment"] = "05-00-00.0000N 148-05-24.0000E", ["callsignStr"] = "KISME", ["latitude"] = 5, ["longitude"] = 148.09 },</v>
      </c>
    </row>
    <row r="299" spans="1:8" ht="29.4" thickBot="1" x14ac:dyDescent="0.35">
      <c r="A299" s="4" t="s">
        <v>988</v>
      </c>
      <c r="B299" s="4" t="s">
        <v>394</v>
      </c>
      <c r="C299" s="4" t="s">
        <v>989</v>
      </c>
      <c r="D299" t="str">
        <f t="shared" si="21"/>
        <v>13-50-06.0000N</v>
      </c>
      <c r="E299" t="str">
        <f t="shared" si="22"/>
        <v>140-38-42.0000E</v>
      </c>
      <c r="F299">
        <f t="shared" si="23"/>
        <v>13.835000000000001</v>
      </c>
      <c r="G299">
        <f t="shared" si="24"/>
        <v>140.64499999999998</v>
      </c>
      <c r="H299" s="3" t="str">
        <f t="shared" si="25"/>
        <v>[485] = {["comment"] = "13-50-06.0000N 140-38-42.0000E", ["callsignStr"] = "KITSS", ["latitude"] = 13.835, ["longitude"] = 140.645 },</v>
      </c>
    </row>
    <row r="300" spans="1:8" ht="15" hidden="1" thickBot="1" x14ac:dyDescent="0.35">
      <c r="A300" s="4" t="s">
        <v>990</v>
      </c>
      <c r="B300" s="4" t="s">
        <v>394</v>
      </c>
      <c r="C300" s="4" t="s">
        <v>991</v>
      </c>
      <c r="D300" t="str">
        <f t="shared" si="21"/>
        <v>31-30-00.0000N</v>
      </c>
      <c r="E300" t="str">
        <f t="shared" si="22"/>
        <v>120-00-00.0000W</v>
      </c>
      <c r="F300">
        <f t="shared" si="23"/>
        <v>31.5</v>
      </c>
      <c r="G300">
        <f t="shared" si="24"/>
        <v>-120</v>
      </c>
      <c r="H300" s="3" t="str">
        <f t="shared" si="25"/>
        <v>[486] = {["comment"] = "31-30-00.0000N 120-00-00.0000W", ["callsignStr"] = "KL09G", ["latitude"] = 31.5, ["longitude"] = -120 },</v>
      </c>
    </row>
    <row r="301" spans="1:8" ht="15" hidden="1" thickBot="1" x14ac:dyDescent="0.35">
      <c r="A301" s="4" t="s">
        <v>992</v>
      </c>
      <c r="B301" s="4" t="s">
        <v>394</v>
      </c>
      <c r="C301" s="4" t="s">
        <v>993</v>
      </c>
      <c r="D301" t="str">
        <f t="shared" si="21"/>
        <v>32-00-00.0000N</v>
      </c>
      <c r="E301" t="str">
        <f t="shared" si="22"/>
        <v>120-00-00.0000W</v>
      </c>
      <c r="F301">
        <f t="shared" si="23"/>
        <v>32</v>
      </c>
      <c r="G301">
        <f t="shared" si="24"/>
        <v>-120</v>
      </c>
      <c r="H301" s="3" t="str">
        <f t="shared" si="25"/>
        <v>[487] = {["comment"] = "32-00-00.0000N 120-00-00.0000W", ["callsignStr"] = "KL12G", ["latitude"] = 32, ["longitude"] = -120 },</v>
      </c>
    </row>
    <row r="302" spans="1:8" ht="15" hidden="1" thickBot="1" x14ac:dyDescent="0.35">
      <c r="A302" s="4" t="s">
        <v>994</v>
      </c>
      <c r="B302" s="4" t="s">
        <v>394</v>
      </c>
      <c r="C302" s="4" t="s">
        <v>995</v>
      </c>
      <c r="D302" t="str">
        <f t="shared" si="21"/>
        <v>32-30-00.0000N</v>
      </c>
      <c r="E302" t="str">
        <f t="shared" si="22"/>
        <v>120-00-00.0000W</v>
      </c>
      <c r="F302">
        <f t="shared" si="23"/>
        <v>32.5</v>
      </c>
      <c r="G302">
        <f t="shared" si="24"/>
        <v>-120</v>
      </c>
      <c r="H302" s="3" t="str">
        <f t="shared" si="25"/>
        <v>[488] = {["comment"] = "32-30-00.0000N 120-00-00.0000W", ["callsignStr"] = "KL15G", ["latitude"] = 32.5, ["longitude"] = -120 },</v>
      </c>
    </row>
    <row r="303" spans="1:8" ht="15" hidden="1" thickBot="1" x14ac:dyDescent="0.35">
      <c r="A303" s="4" t="s">
        <v>996</v>
      </c>
      <c r="B303" s="4" t="s">
        <v>394</v>
      </c>
      <c r="C303" s="4" t="s">
        <v>997</v>
      </c>
      <c r="D303" t="str">
        <f t="shared" si="21"/>
        <v>32-30-00.0000N</v>
      </c>
      <c r="E303" t="str">
        <f t="shared" si="22"/>
        <v>118-00-00.0000W</v>
      </c>
      <c r="F303">
        <f t="shared" si="23"/>
        <v>32.5</v>
      </c>
      <c r="G303">
        <f t="shared" si="24"/>
        <v>-118</v>
      </c>
      <c r="H303" s="3" t="str">
        <f t="shared" si="25"/>
        <v>[489] = {["comment"] = "32-30-00.0000N 118-00-00.0000W", ["callsignStr"] = "KL15I", ["latitude"] = 32.5, ["longitude"] = -118 },</v>
      </c>
    </row>
    <row r="304" spans="1:8" ht="15" hidden="1" thickBot="1" x14ac:dyDescent="0.35">
      <c r="A304" s="4" t="s">
        <v>998</v>
      </c>
      <c r="B304" s="4" t="s">
        <v>394</v>
      </c>
      <c r="C304" s="4" t="s">
        <v>999</v>
      </c>
      <c r="D304" t="str">
        <f t="shared" si="21"/>
        <v>33-00-00.0000N</v>
      </c>
      <c r="E304" t="str">
        <f t="shared" si="22"/>
        <v>122-00-00.0000W</v>
      </c>
      <c r="F304">
        <f t="shared" si="23"/>
        <v>33</v>
      </c>
      <c r="G304">
        <f t="shared" si="24"/>
        <v>-122</v>
      </c>
      <c r="H304" s="3" t="str">
        <f t="shared" si="25"/>
        <v>[490] = {["comment"] = "33-00-00.0000N 122-00-00.0000W", ["callsignStr"] = "KL18E", ["latitude"] = 33, ["longitude"] = -122 },</v>
      </c>
    </row>
    <row r="305" spans="1:8" ht="15" hidden="1" thickBot="1" x14ac:dyDescent="0.35">
      <c r="A305" s="4" t="s">
        <v>1000</v>
      </c>
      <c r="B305" s="4" t="s">
        <v>394</v>
      </c>
      <c r="C305" s="4" t="s">
        <v>1001</v>
      </c>
      <c r="D305" t="str">
        <f t="shared" si="21"/>
        <v>33-00-00.0000N</v>
      </c>
      <c r="E305" t="str">
        <f t="shared" si="22"/>
        <v>120-00-00.0000W</v>
      </c>
      <c r="F305">
        <f t="shared" si="23"/>
        <v>33</v>
      </c>
      <c r="G305">
        <f t="shared" si="24"/>
        <v>-120</v>
      </c>
      <c r="H305" s="3" t="str">
        <f t="shared" si="25"/>
        <v>[491] = {["comment"] = "33-00-00.0000N 120-00-00.0000W", ["callsignStr"] = "KL18G", ["latitude"] = 33, ["longitude"] = -120 },</v>
      </c>
    </row>
    <row r="306" spans="1:8" ht="15" hidden="1" thickBot="1" x14ac:dyDescent="0.35">
      <c r="A306" s="4" t="s">
        <v>1002</v>
      </c>
      <c r="B306" s="4" t="s">
        <v>394</v>
      </c>
      <c r="C306" s="4" t="s">
        <v>1003</v>
      </c>
      <c r="D306" t="str">
        <f t="shared" si="21"/>
        <v>33-00-00.0000N</v>
      </c>
      <c r="E306" t="str">
        <f t="shared" si="22"/>
        <v>118-00-00.0000W</v>
      </c>
      <c r="F306">
        <f t="shared" si="23"/>
        <v>33</v>
      </c>
      <c r="G306">
        <f t="shared" si="24"/>
        <v>-118</v>
      </c>
      <c r="H306" s="3" t="str">
        <f t="shared" si="25"/>
        <v>[492] = {["comment"] = "33-00-00.0000N 118-00-00.0000W", ["callsignStr"] = "KL18I", ["latitude"] = 33, ["longitude"] = -118 },</v>
      </c>
    </row>
    <row r="307" spans="1:8" ht="15" hidden="1" thickBot="1" x14ac:dyDescent="0.35">
      <c r="A307" s="4" t="s">
        <v>1004</v>
      </c>
      <c r="B307" s="4" t="s">
        <v>394</v>
      </c>
      <c r="C307" s="4" t="s">
        <v>1005</v>
      </c>
      <c r="D307" t="str">
        <f t="shared" si="21"/>
        <v>33-30-00.0000N</v>
      </c>
      <c r="E307" t="str">
        <f t="shared" si="22"/>
        <v>122-00-00.0000W</v>
      </c>
      <c r="F307">
        <f t="shared" si="23"/>
        <v>33.5</v>
      </c>
      <c r="G307">
        <f t="shared" si="24"/>
        <v>-122</v>
      </c>
      <c r="H307" s="3" t="str">
        <f t="shared" si="25"/>
        <v>[493] = {["comment"] = "33-30-00.0000N 122-00-00.0000W", ["callsignStr"] = "KL21E", ["latitude"] = 33.5, ["longitude"] = -122 },</v>
      </c>
    </row>
    <row r="308" spans="1:8" ht="15" hidden="1" thickBot="1" x14ac:dyDescent="0.35">
      <c r="A308" s="4" t="s">
        <v>1006</v>
      </c>
      <c r="B308" s="4" t="s">
        <v>394</v>
      </c>
      <c r="C308" s="4" t="s">
        <v>1007</v>
      </c>
      <c r="D308" t="str">
        <f t="shared" si="21"/>
        <v>33-30-00.0000N</v>
      </c>
      <c r="E308" t="str">
        <f t="shared" si="22"/>
        <v>120-00-00.0000W</v>
      </c>
      <c r="F308">
        <f t="shared" si="23"/>
        <v>33.5</v>
      </c>
      <c r="G308">
        <f t="shared" si="24"/>
        <v>-120</v>
      </c>
      <c r="H308" s="3" t="str">
        <f t="shared" si="25"/>
        <v>[494] = {["comment"] = "33-30-00.0000N 120-00-00.0000W", ["callsignStr"] = "KL21G", ["latitude"] = 33.5, ["longitude"] = -120 },</v>
      </c>
    </row>
    <row r="309" spans="1:8" ht="15" hidden="1" thickBot="1" x14ac:dyDescent="0.35">
      <c r="A309" s="4" t="s">
        <v>1008</v>
      </c>
      <c r="B309" s="4" t="s">
        <v>394</v>
      </c>
      <c r="C309" s="4" t="s">
        <v>1009</v>
      </c>
      <c r="D309" t="str">
        <f t="shared" si="21"/>
        <v>34-00-00.0000N</v>
      </c>
      <c r="E309" t="str">
        <f t="shared" si="22"/>
        <v>122-00-00.0000W</v>
      </c>
      <c r="F309">
        <f t="shared" si="23"/>
        <v>34</v>
      </c>
      <c r="G309">
        <f t="shared" si="24"/>
        <v>-122</v>
      </c>
      <c r="H309" s="3" t="str">
        <f t="shared" si="25"/>
        <v>[495] = {["comment"] = "34-00-00.0000N 122-00-00.0000W", ["callsignStr"] = "KL24E", ["latitude"] = 34, ["longitude"] = -122 },</v>
      </c>
    </row>
    <row r="310" spans="1:8" ht="15" hidden="1" thickBot="1" x14ac:dyDescent="0.35">
      <c r="A310" s="4" t="s">
        <v>1010</v>
      </c>
      <c r="B310" s="4" t="s">
        <v>394</v>
      </c>
      <c r="C310" s="4" t="s">
        <v>1011</v>
      </c>
      <c r="D310" t="str">
        <f t="shared" si="21"/>
        <v>34-30-00.0000N</v>
      </c>
      <c r="E310" t="str">
        <f t="shared" si="22"/>
        <v>122-00-00.0000W</v>
      </c>
      <c r="F310">
        <f t="shared" si="23"/>
        <v>34.5</v>
      </c>
      <c r="G310">
        <f t="shared" si="24"/>
        <v>-122</v>
      </c>
      <c r="H310" s="3" t="str">
        <f t="shared" si="25"/>
        <v>[496] = {["comment"] = "34-30-00.0000N 122-00-00.0000W", ["callsignStr"] = "KL27E", ["latitude"] = 34.5, ["longitude"] = -122 },</v>
      </c>
    </row>
    <row r="311" spans="1:8" ht="15" hidden="1" thickBot="1" x14ac:dyDescent="0.35">
      <c r="A311" s="4" t="s">
        <v>1012</v>
      </c>
      <c r="B311" s="4" t="s">
        <v>394</v>
      </c>
      <c r="C311" s="4" t="s">
        <v>1013</v>
      </c>
      <c r="D311" t="str">
        <f t="shared" si="21"/>
        <v>35-00-00.0000N</v>
      </c>
      <c r="E311" t="str">
        <f t="shared" si="22"/>
        <v>122-00-00.0000W</v>
      </c>
      <c r="F311">
        <f t="shared" si="23"/>
        <v>35</v>
      </c>
      <c r="G311">
        <f t="shared" si="24"/>
        <v>-122</v>
      </c>
      <c r="H311" s="3" t="str">
        <f t="shared" si="25"/>
        <v>[497] = {["comment"] = "35-00-00.0000N 122-00-00.0000W", ["callsignStr"] = "KL30E", ["latitude"] = 35, ["longitude"] = -122 },</v>
      </c>
    </row>
    <row r="312" spans="1:8" ht="29.4" hidden="1" thickBot="1" x14ac:dyDescent="0.35">
      <c r="A312" s="4" t="s">
        <v>1014</v>
      </c>
      <c r="B312" s="4" t="s">
        <v>394</v>
      </c>
      <c r="C312" s="4" t="s">
        <v>1015</v>
      </c>
      <c r="D312" t="str">
        <f t="shared" si="21"/>
        <v>07-06-16.0000N</v>
      </c>
      <c r="E312" t="str">
        <f t="shared" si="22"/>
        <v>159-21-39.0000E</v>
      </c>
      <c r="F312">
        <f t="shared" si="23"/>
        <v>7.1044444444444439</v>
      </c>
      <c r="G312">
        <f t="shared" si="24"/>
        <v>159.36083333333332</v>
      </c>
      <c r="H312" s="3" t="str">
        <f t="shared" si="25"/>
        <v>[498] = {["comment"] = "07-06-16.0000N 159-21-39.0000E", ["callsignStr"] = "KNOWS", ["latitude"] = 7.10444444444444, ["longitude"] = 159.360833333333 },</v>
      </c>
    </row>
    <row r="313" spans="1:8" ht="15" hidden="1" thickBot="1" x14ac:dyDescent="0.35">
      <c r="A313" s="4" t="s">
        <v>1016</v>
      </c>
      <c r="B313" s="4" t="s">
        <v>394</v>
      </c>
      <c r="C313" s="4" t="s">
        <v>1017</v>
      </c>
      <c r="D313" t="str">
        <f t="shared" si="21"/>
        <v>35-30-00.0000N</v>
      </c>
      <c r="E313" t="str">
        <f t="shared" si="22"/>
        <v>122-00-00.0000W</v>
      </c>
      <c r="F313">
        <f t="shared" si="23"/>
        <v>35.5</v>
      </c>
      <c r="G313">
        <f t="shared" si="24"/>
        <v>-122</v>
      </c>
      <c r="H313" s="3" t="str">
        <f t="shared" si="25"/>
        <v>[499] = {["comment"] = "35-30-00.0000N 122-00-00.0000W", ["callsignStr"] = "KO33E", ["latitude"] = 35.5, ["longitude"] = -122 },</v>
      </c>
    </row>
    <row r="314" spans="1:8" ht="15" hidden="1" thickBot="1" x14ac:dyDescent="0.35">
      <c r="A314" s="4" t="s">
        <v>1018</v>
      </c>
      <c r="B314" s="4" t="s">
        <v>394</v>
      </c>
      <c r="C314" s="4" t="s">
        <v>1019</v>
      </c>
      <c r="D314" t="str">
        <f t="shared" si="21"/>
        <v>36-00-00.0000N</v>
      </c>
      <c r="E314" t="str">
        <f t="shared" si="22"/>
        <v>126-00-00.0000W</v>
      </c>
      <c r="F314">
        <f t="shared" si="23"/>
        <v>36</v>
      </c>
      <c r="G314">
        <f t="shared" si="24"/>
        <v>-126</v>
      </c>
      <c r="H314" s="3" t="str">
        <f t="shared" si="25"/>
        <v>[500] = {["comment"] = "36-00-00.0000N 126-00-00.0000W", ["callsignStr"] = "KO36A", ["latitude"] = 36, ["longitude"] = -126 },</v>
      </c>
    </row>
    <row r="315" spans="1:8" ht="15" hidden="1" thickBot="1" x14ac:dyDescent="0.35">
      <c r="A315" s="4" t="s">
        <v>1020</v>
      </c>
      <c r="B315" s="4" t="s">
        <v>394</v>
      </c>
      <c r="C315" s="4" t="s">
        <v>1021</v>
      </c>
      <c r="D315" t="str">
        <f t="shared" si="21"/>
        <v>36-00-00.0000N</v>
      </c>
      <c r="E315" t="str">
        <f t="shared" si="22"/>
        <v>124-00-00.0000W</v>
      </c>
      <c r="F315">
        <f t="shared" si="23"/>
        <v>36</v>
      </c>
      <c r="G315">
        <f t="shared" si="24"/>
        <v>-124</v>
      </c>
      <c r="H315" s="3" t="str">
        <f t="shared" si="25"/>
        <v>[501] = {["comment"] = "36-00-00.0000N 124-00-00.0000W", ["callsignStr"] = "KO36C", ["latitude"] = 36, ["longitude"] = -124 },</v>
      </c>
    </row>
    <row r="316" spans="1:8" ht="15" hidden="1" thickBot="1" x14ac:dyDescent="0.35">
      <c r="A316" s="4" t="s">
        <v>1022</v>
      </c>
      <c r="B316" s="4" t="s">
        <v>394</v>
      </c>
      <c r="C316" s="4" t="s">
        <v>1023</v>
      </c>
      <c r="D316" t="str">
        <f t="shared" si="21"/>
        <v>36-00-00.0000N</v>
      </c>
      <c r="E316" t="str">
        <f t="shared" si="22"/>
        <v>122-00-00.0000W</v>
      </c>
      <c r="F316">
        <f t="shared" si="23"/>
        <v>36</v>
      </c>
      <c r="G316">
        <f t="shared" si="24"/>
        <v>-122</v>
      </c>
      <c r="H316" s="3" t="str">
        <f t="shared" si="25"/>
        <v>[502] = {["comment"] = "36-00-00.0000N 122-00-00.0000W", ["callsignStr"] = "KO36E", ["latitude"] = 36, ["longitude"] = -122 },</v>
      </c>
    </row>
    <row r="317" spans="1:8" ht="15" hidden="1" thickBot="1" x14ac:dyDescent="0.35">
      <c r="A317" s="4" t="s">
        <v>1024</v>
      </c>
      <c r="B317" s="4" t="s">
        <v>394</v>
      </c>
      <c r="C317" s="4" t="s">
        <v>1025</v>
      </c>
      <c r="D317" t="str">
        <f t="shared" si="21"/>
        <v>36-30-00.0000N</v>
      </c>
      <c r="E317" t="str">
        <f t="shared" si="22"/>
        <v>126-00-00.0000W</v>
      </c>
      <c r="F317">
        <f t="shared" si="23"/>
        <v>36.5</v>
      </c>
      <c r="G317">
        <f t="shared" si="24"/>
        <v>-126</v>
      </c>
      <c r="H317" s="3" t="str">
        <f t="shared" si="25"/>
        <v>[503] = {["comment"] = "36-30-00.0000N 126-00-00.0000W", ["callsignStr"] = "KO39A", ["latitude"] = 36.5, ["longitude"] = -126 },</v>
      </c>
    </row>
    <row r="318" spans="1:8" ht="15" hidden="1" thickBot="1" x14ac:dyDescent="0.35">
      <c r="A318" s="4" t="s">
        <v>1026</v>
      </c>
      <c r="B318" s="4" t="s">
        <v>394</v>
      </c>
      <c r="C318" s="4" t="s">
        <v>1027</v>
      </c>
      <c r="D318" t="str">
        <f t="shared" si="21"/>
        <v>36-30-00.0000N</v>
      </c>
      <c r="E318" t="str">
        <f t="shared" si="22"/>
        <v>124-00-00.0000W</v>
      </c>
      <c r="F318">
        <f t="shared" si="23"/>
        <v>36.5</v>
      </c>
      <c r="G318">
        <f t="shared" si="24"/>
        <v>-124</v>
      </c>
      <c r="H318" s="3" t="str">
        <f t="shared" si="25"/>
        <v>[504] = {["comment"] = "36-30-00.0000N 124-00-00.0000W", ["callsignStr"] = "KO39C", ["latitude"] = 36.5, ["longitude"] = -124 },</v>
      </c>
    </row>
    <row r="319" spans="1:8" ht="15" hidden="1" thickBot="1" x14ac:dyDescent="0.35">
      <c r="A319" s="4" t="s">
        <v>1028</v>
      </c>
      <c r="B319" s="4" t="s">
        <v>394</v>
      </c>
      <c r="C319" s="4" t="s">
        <v>1029</v>
      </c>
      <c r="D319" t="str">
        <f t="shared" si="21"/>
        <v>36-30-00.0000N</v>
      </c>
      <c r="E319" t="str">
        <f t="shared" si="22"/>
        <v>122-00-00.0000W</v>
      </c>
      <c r="F319">
        <f t="shared" si="23"/>
        <v>36.5</v>
      </c>
      <c r="G319">
        <f t="shared" si="24"/>
        <v>-122</v>
      </c>
      <c r="H319" s="3" t="str">
        <f t="shared" si="25"/>
        <v>[505] = {["comment"] = "36-30-00.0000N 122-00-00.0000W", ["callsignStr"] = "KO39E", ["latitude"] = 36.5, ["longitude"] = -122 },</v>
      </c>
    </row>
    <row r="320" spans="1:8" ht="15" hidden="1" thickBot="1" x14ac:dyDescent="0.35">
      <c r="A320" s="4" t="s">
        <v>1030</v>
      </c>
      <c r="B320" s="4" t="s">
        <v>394</v>
      </c>
      <c r="C320" s="4" t="s">
        <v>1031</v>
      </c>
      <c r="D320" t="str">
        <f t="shared" si="21"/>
        <v>37-00-00.0000N</v>
      </c>
      <c r="E320" t="str">
        <f t="shared" si="22"/>
        <v>126-00-00.0000W</v>
      </c>
      <c r="F320">
        <f t="shared" si="23"/>
        <v>37</v>
      </c>
      <c r="G320">
        <f t="shared" si="24"/>
        <v>-126</v>
      </c>
      <c r="H320" s="3" t="str">
        <f t="shared" si="25"/>
        <v>[506] = {["comment"] = "37-00-00.0000N 126-00-00.0000W", ["callsignStr"] = "KO42A", ["latitude"] = 37, ["longitude"] = -126 },</v>
      </c>
    </row>
    <row r="321" spans="1:8" ht="15" hidden="1" thickBot="1" x14ac:dyDescent="0.35">
      <c r="A321" s="4" t="s">
        <v>1032</v>
      </c>
      <c r="B321" s="4" t="s">
        <v>394</v>
      </c>
      <c r="C321" s="4" t="s">
        <v>1033</v>
      </c>
      <c r="D321" t="str">
        <f t="shared" si="21"/>
        <v>37-00-00.0000N</v>
      </c>
      <c r="E321" t="str">
        <f t="shared" si="22"/>
        <v>124-00-00.0000W</v>
      </c>
      <c r="F321">
        <f t="shared" si="23"/>
        <v>37</v>
      </c>
      <c r="G321">
        <f t="shared" si="24"/>
        <v>-124</v>
      </c>
      <c r="H321" s="3" t="str">
        <f t="shared" si="25"/>
        <v>[507] = {["comment"] = "37-00-00.0000N 124-00-00.0000W", ["callsignStr"] = "KO42C", ["latitude"] = 37, ["longitude"] = -124 },</v>
      </c>
    </row>
    <row r="322" spans="1:8" ht="15" hidden="1" thickBot="1" x14ac:dyDescent="0.35">
      <c r="A322" s="4" t="s">
        <v>1034</v>
      </c>
      <c r="B322" s="4" t="s">
        <v>394</v>
      </c>
      <c r="C322" s="4" t="s">
        <v>1035</v>
      </c>
      <c r="D322" t="str">
        <f t="shared" si="21"/>
        <v>37-30-00.0000N</v>
      </c>
      <c r="E322" t="str">
        <f t="shared" si="22"/>
        <v>126-00-00.0000W</v>
      </c>
      <c r="F322">
        <f t="shared" si="23"/>
        <v>37.5</v>
      </c>
      <c r="G322">
        <f t="shared" si="24"/>
        <v>-126</v>
      </c>
      <c r="H322" s="3" t="str">
        <f t="shared" si="25"/>
        <v>[508] = {["comment"] = "37-30-00.0000N 126-00-00.0000W", ["callsignStr"] = "KO45A", ["latitude"] = 37.5, ["longitude"] = -126 },</v>
      </c>
    </row>
    <row r="323" spans="1:8" ht="15" hidden="1" thickBot="1" x14ac:dyDescent="0.35">
      <c r="A323" s="4" t="s">
        <v>1036</v>
      </c>
      <c r="B323" s="4" t="s">
        <v>394</v>
      </c>
      <c r="C323" s="4" t="s">
        <v>1037</v>
      </c>
      <c r="D323" t="str">
        <f t="shared" ref="D323:D386" si="26">findLatitude(C323)</f>
        <v>37-30-00.0000N</v>
      </c>
      <c r="E323" t="str">
        <f t="shared" ref="E323:E386" si="27">findLongitude(C323)</f>
        <v>124-00-00.0000W</v>
      </c>
      <c r="F323">
        <f t="shared" ref="F323:F386" si="28">VALUE(MID(D323,1,2))+VALUE(MID(D323,4,2))/60+VALUE(MID(D323,7,7))/(1*3600)</f>
        <v>37.5</v>
      </c>
      <c r="G323">
        <f t="shared" ref="G323:G386" si="29">(VALUE(MID(E323,1,3))+VALUE(MID(E323,5,2))/60+VALUE(MID(E323,8,7))/(1*3600))*IF(MID(E323,15,1)="E",1,-1)</f>
        <v>-124</v>
      </c>
      <c r="H323" s="3" t="str">
        <f t="shared" ref="H323:H386" si="30">CONCATENATE("[",ROW()+$H$1-1,"] = {","[""comment""] = """,C323,""", ","[""callsignStr""] = """,A323,""", ","[""latitude""] = ",F323,", ","[""longitude""] = ",G323," },")</f>
        <v>[509] = {["comment"] = "37-30-00.0000N 124-00-00.0000W", ["callsignStr"] = "KO45C", ["latitude"] = 37.5, ["longitude"] = -124 },</v>
      </c>
    </row>
    <row r="324" spans="1:8" ht="15" hidden="1" thickBot="1" x14ac:dyDescent="0.35">
      <c r="A324" s="4" t="s">
        <v>1038</v>
      </c>
      <c r="B324" s="4" t="s">
        <v>394</v>
      </c>
      <c r="C324" s="4" t="s">
        <v>1039</v>
      </c>
      <c r="D324" t="str">
        <f t="shared" si="26"/>
        <v>38-00-00.0000N</v>
      </c>
      <c r="E324" t="str">
        <f t="shared" si="27"/>
        <v>126-00-00.0000W</v>
      </c>
      <c r="F324">
        <f t="shared" si="28"/>
        <v>38</v>
      </c>
      <c r="G324">
        <f t="shared" si="29"/>
        <v>-126</v>
      </c>
      <c r="H324" s="3" t="str">
        <f t="shared" si="30"/>
        <v>[510] = {["comment"] = "38-00-00.0000N 126-00-00.0000W", ["callsignStr"] = "KO48A", ["latitude"] = 38, ["longitude"] = -126 },</v>
      </c>
    </row>
    <row r="325" spans="1:8" ht="15" hidden="1" thickBot="1" x14ac:dyDescent="0.35">
      <c r="A325" s="4" t="s">
        <v>1040</v>
      </c>
      <c r="B325" s="4" t="s">
        <v>394</v>
      </c>
      <c r="C325" s="4" t="s">
        <v>1041</v>
      </c>
      <c r="D325" t="str">
        <f t="shared" si="26"/>
        <v>38-00-00.0000N</v>
      </c>
      <c r="E325" t="str">
        <f t="shared" si="27"/>
        <v>124-00-00.0000W</v>
      </c>
      <c r="F325">
        <f t="shared" si="28"/>
        <v>38</v>
      </c>
      <c r="G325">
        <f t="shared" si="29"/>
        <v>-124</v>
      </c>
      <c r="H325" s="3" t="str">
        <f t="shared" si="30"/>
        <v>[511] = {["comment"] = "38-00-00.0000N 124-00-00.0000W", ["callsignStr"] = "KO48C", ["latitude"] = 38, ["longitude"] = -124 },</v>
      </c>
    </row>
    <row r="326" spans="1:8" ht="15" hidden="1" thickBot="1" x14ac:dyDescent="0.35">
      <c r="A326" s="4" t="s">
        <v>1042</v>
      </c>
      <c r="B326" s="4" t="s">
        <v>394</v>
      </c>
      <c r="C326" s="4" t="s">
        <v>1043</v>
      </c>
      <c r="D326" t="str">
        <f t="shared" si="26"/>
        <v>38-30-00.0000N</v>
      </c>
      <c r="E326" t="str">
        <f t="shared" si="27"/>
        <v>126-00-00.0000W</v>
      </c>
      <c r="F326">
        <f t="shared" si="28"/>
        <v>38.5</v>
      </c>
      <c r="G326">
        <f t="shared" si="29"/>
        <v>-126</v>
      </c>
      <c r="H326" s="3" t="str">
        <f t="shared" si="30"/>
        <v>[512] = {["comment"] = "38-30-00.0000N 126-00-00.0000W", ["callsignStr"] = "KO51A", ["latitude"] = 38.5, ["longitude"] = -126 },</v>
      </c>
    </row>
    <row r="327" spans="1:8" ht="15" hidden="1" thickBot="1" x14ac:dyDescent="0.35">
      <c r="A327" s="4" t="s">
        <v>1044</v>
      </c>
      <c r="B327" s="4" t="s">
        <v>394</v>
      </c>
      <c r="C327" s="4" t="s">
        <v>1045</v>
      </c>
      <c r="D327" t="str">
        <f t="shared" si="26"/>
        <v>38-30-00.0000N</v>
      </c>
      <c r="E327" t="str">
        <f t="shared" si="27"/>
        <v>124-00-00.0000W</v>
      </c>
      <c r="F327">
        <f t="shared" si="28"/>
        <v>38.5</v>
      </c>
      <c r="G327">
        <f t="shared" si="29"/>
        <v>-124</v>
      </c>
      <c r="H327" s="3" t="str">
        <f t="shared" si="30"/>
        <v>[513] = {["comment"] = "38-30-00.0000N 124-00-00.0000W", ["callsignStr"] = "KO51C", ["latitude"] = 38.5, ["longitude"] = -124 },</v>
      </c>
    </row>
    <row r="328" spans="1:8" ht="15" hidden="1" thickBot="1" x14ac:dyDescent="0.35">
      <c r="A328" s="4" t="s">
        <v>1046</v>
      </c>
      <c r="B328" s="4" t="s">
        <v>394</v>
      </c>
      <c r="C328" s="4" t="s">
        <v>1047</v>
      </c>
      <c r="D328" t="str">
        <f t="shared" si="26"/>
        <v>39-00-00.0000N</v>
      </c>
      <c r="E328" t="str">
        <f t="shared" si="27"/>
        <v>126-00-00.0000W</v>
      </c>
      <c r="F328">
        <f t="shared" si="28"/>
        <v>39</v>
      </c>
      <c r="G328">
        <f t="shared" si="29"/>
        <v>-126</v>
      </c>
      <c r="H328" s="3" t="str">
        <f t="shared" si="30"/>
        <v>[514] = {["comment"] = "39-00-00.0000N 126-00-00.0000W", ["callsignStr"] = "KO54A", ["latitude"] = 39, ["longitude"] = -126 },</v>
      </c>
    </row>
    <row r="329" spans="1:8" ht="15" hidden="1" thickBot="1" x14ac:dyDescent="0.35">
      <c r="A329" s="4" t="s">
        <v>1048</v>
      </c>
      <c r="B329" s="4" t="s">
        <v>394</v>
      </c>
      <c r="C329" s="4" t="s">
        <v>1049</v>
      </c>
      <c r="D329" t="str">
        <f t="shared" si="26"/>
        <v>39-00-00.0000N</v>
      </c>
      <c r="E329" t="str">
        <f t="shared" si="27"/>
        <v>124-00-00.0000W</v>
      </c>
      <c r="F329">
        <f t="shared" si="28"/>
        <v>39</v>
      </c>
      <c r="G329">
        <f t="shared" si="29"/>
        <v>-124</v>
      </c>
      <c r="H329" s="3" t="str">
        <f t="shared" si="30"/>
        <v>[515] = {["comment"] = "39-00-00.0000N 124-00-00.0000W", ["callsignStr"] = "KO54C", ["latitude"] = 39, ["longitude"] = -124 },</v>
      </c>
    </row>
    <row r="330" spans="1:8" ht="15" hidden="1" thickBot="1" x14ac:dyDescent="0.35">
      <c r="A330" s="4" t="s">
        <v>1050</v>
      </c>
      <c r="B330" s="4" t="s">
        <v>394</v>
      </c>
      <c r="C330" s="4" t="s">
        <v>1051</v>
      </c>
      <c r="D330" t="str">
        <f t="shared" si="26"/>
        <v>39-30-00.0000N</v>
      </c>
      <c r="E330" t="str">
        <f t="shared" si="27"/>
        <v>126-00-00.0000W</v>
      </c>
      <c r="F330">
        <f t="shared" si="28"/>
        <v>39.5</v>
      </c>
      <c r="G330">
        <f t="shared" si="29"/>
        <v>-126</v>
      </c>
      <c r="H330" s="3" t="str">
        <f t="shared" si="30"/>
        <v>[516] = {["comment"] = "39-30-00.0000N 126-00-00.0000W", ["callsignStr"] = "KO57A", ["latitude"] = 39.5, ["longitude"] = -126 },</v>
      </c>
    </row>
    <row r="331" spans="1:8" ht="15" hidden="1" thickBot="1" x14ac:dyDescent="0.35">
      <c r="A331" s="4" t="s">
        <v>1052</v>
      </c>
      <c r="B331" s="4" t="s">
        <v>394</v>
      </c>
      <c r="C331" s="4" t="s">
        <v>1053</v>
      </c>
      <c r="D331" t="str">
        <f t="shared" si="26"/>
        <v>39-30-00.0000N</v>
      </c>
      <c r="E331" t="str">
        <f t="shared" si="27"/>
        <v>124-00-00.0000W</v>
      </c>
      <c r="F331">
        <f t="shared" si="28"/>
        <v>39.5</v>
      </c>
      <c r="G331">
        <f t="shared" si="29"/>
        <v>-124</v>
      </c>
      <c r="H331" s="3" t="str">
        <f t="shared" si="30"/>
        <v>[517] = {["comment"] = "39-30-00.0000N 124-00-00.0000W", ["callsignStr"] = "KO57C", ["latitude"] = 39.5, ["longitude"] = -124 },</v>
      </c>
    </row>
    <row r="332" spans="1:8" ht="15" hidden="1" thickBot="1" x14ac:dyDescent="0.35">
      <c r="A332" s="4" t="s">
        <v>1054</v>
      </c>
      <c r="B332" s="4" t="s">
        <v>394</v>
      </c>
      <c r="C332" s="4" t="s">
        <v>1055</v>
      </c>
      <c r="D332" t="str">
        <f t="shared" si="26"/>
        <v>40-00-00.0000N</v>
      </c>
      <c r="E332" t="str">
        <f t="shared" si="27"/>
        <v>126-00-00.0000W</v>
      </c>
      <c r="F332">
        <f t="shared" si="28"/>
        <v>40</v>
      </c>
      <c r="G332">
        <f t="shared" si="29"/>
        <v>-126</v>
      </c>
      <c r="H332" s="3" t="str">
        <f t="shared" si="30"/>
        <v>[518] = {["comment"] = "40-00-00.0000N 126-00-00.0000W", ["callsignStr"] = "KO60A", ["latitude"] = 40, ["longitude"] = -126 },</v>
      </c>
    </row>
    <row r="333" spans="1:8" ht="15" hidden="1" thickBot="1" x14ac:dyDescent="0.35">
      <c r="A333" s="4" t="s">
        <v>1056</v>
      </c>
      <c r="B333" s="4" t="s">
        <v>394</v>
      </c>
      <c r="C333" s="4" t="s">
        <v>1057</v>
      </c>
      <c r="D333" t="str">
        <f t="shared" si="26"/>
        <v>40-30-00.0000N</v>
      </c>
      <c r="E333" t="str">
        <f t="shared" si="27"/>
        <v>126-00-00.0000W</v>
      </c>
      <c r="F333">
        <f t="shared" si="28"/>
        <v>40.5</v>
      </c>
      <c r="G333">
        <f t="shared" si="29"/>
        <v>-126</v>
      </c>
      <c r="H333" s="3" t="str">
        <f t="shared" si="30"/>
        <v>[519] = {["comment"] = "40-30-00.0000N 126-00-00.0000W", ["callsignStr"] = "KO63A", ["latitude"] = 40.5, ["longitude"] = -126 },</v>
      </c>
    </row>
    <row r="334" spans="1:8" ht="29.4" hidden="1" thickBot="1" x14ac:dyDescent="0.35">
      <c r="A334" s="4" t="s">
        <v>1058</v>
      </c>
      <c r="B334" s="4" t="s">
        <v>394</v>
      </c>
      <c r="C334" s="4" t="s">
        <v>1059</v>
      </c>
      <c r="D334" t="str">
        <f t="shared" si="26"/>
        <v>54-44-59.9600N</v>
      </c>
      <c r="E334" t="str">
        <f t="shared" si="27"/>
        <v>170-06-12.0300E</v>
      </c>
      <c r="F334">
        <f t="shared" si="28"/>
        <v>54.749988888888893</v>
      </c>
      <c r="G334">
        <f t="shared" si="29"/>
        <v>170.10334166666667</v>
      </c>
      <c r="H334" s="3" t="str">
        <f t="shared" si="30"/>
        <v>[520] = {["comment"] = "54-44-59.9600N 170-06-12.0300E", ["callsignStr"] = "KOKES", ["latitude"] = 54.7499888888889, ["longitude"] = 170.103341666667 },</v>
      </c>
    </row>
    <row r="335" spans="1:8" ht="29.4" hidden="1" thickBot="1" x14ac:dyDescent="0.35">
      <c r="A335" s="4" t="s">
        <v>1060</v>
      </c>
      <c r="B335" s="4" t="s">
        <v>394</v>
      </c>
      <c r="C335" s="4" t="s">
        <v>1061</v>
      </c>
      <c r="D335" t="str">
        <f t="shared" si="26"/>
        <v>06-37-21.0000N</v>
      </c>
      <c r="E335" t="str">
        <f t="shared" si="27"/>
        <v>160-44-39.0000E</v>
      </c>
      <c r="F335">
        <f t="shared" si="28"/>
        <v>6.6225000000000005</v>
      </c>
      <c r="G335">
        <f t="shared" si="29"/>
        <v>160.74416666666664</v>
      </c>
      <c r="H335" s="3" t="str">
        <f t="shared" si="30"/>
        <v>[521] = {["comment"] = "06-37-21.0000N 160-44-39.0000E", ["callsignStr"] = "KOONY", ["latitude"] = 6.6225, ["longitude"] = 160.744166666667 },</v>
      </c>
    </row>
    <row r="336" spans="1:8" ht="15" hidden="1" thickBot="1" x14ac:dyDescent="0.35">
      <c r="A336" s="4" t="s">
        <v>1062</v>
      </c>
      <c r="B336" s="4" t="s">
        <v>394</v>
      </c>
      <c r="C336" s="4" t="s">
        <v>1063</v>
      </c>
      <c r="D336" t="str">
        <f t="shared" si="26"/>
        <v>57-00-00.0000N</v>
      </c>
      <c r="E336" t="str">
        <f t="shared" si="27"/>
        <v>138-00-00.0000W</v>
      </c>
      <c r="F336">
        <f t="shared" si="28"/>
        <v>57</v>
      </c>
      <c r="G336">
        <f t="shared" si="29"/>
        <v>-138</v>
      </c>
      <c r="H336" s="3" t="str">
        <f t="shared" si="30"/>
        <v>[522] = {["comment"] = "57-00-00.0000N 138-00-00.0000W", ["callsignStr"] = "KORRL", ["latitude"] = 57, ["longitude"] = -138 },</v>
      </c>
    </row>
    <row r="337" spans="1:8" ht="15" hidden="1" thickBot="1" x14ac:dyDescent="0.35">
      <c r="A337" s="4" t="s">
        <v>1064</v>
      </c>
      <c r="B337" s="4" t="s">
        <v>394</v>
      </c>
      <c r="C337" s="4" t="s">
        <v>1065</v>
      </c>
      <c r="D337" t="str">
        <f t="shared" si="26"/>
        <v>05-00-00.0000N</v>
      </c>
      <c r="E337" t="str">
        <f t="shared" si="27"/>
        <v>155-27-00.0000E</v>
      </c>
      <c r="F337">
        <f t="shared" si="28"/>
        <v>5</v>
      </c>
      <c r="G337">
        <f t="shared" si="29"/>
        <v>155.44999999999999</v>
      </c>
      <c r="H337" s="3" t="str">
        <f t="shared" si="30"/>
        <v>[523] = {["comment"] = "05-00-00.0000N 155-27-00.0000E", ["callsignStr"] = "KRASY", ["latitude"] = 5, ["longitude"] = 155.45 },</v>
      </c>
    </row>
    <row r="338" spans="1:8" ht="29.4" hidden="1" thickBot="1" x14ac:dyDescent="0.35">
      <c r="A338" s="4" t="s">
        <v>1066</v>
      </c>
      <c r="B338" s="4" t="s">
        <v>394</v>
      </c>
      <c r="C338" s="4" t="s">
        <v>1067</v>
      </c>
      <c r="D338" t="str">
        <f t="shared" si="26"/>
        <v>09-24-00.0000N</v>
      </c>
      <c r="E338" t="str">
        <f t="shared" si="27"/>
        <v>154-11-00.0000E</v>
      </c>
      <c r="F338">
        <f t="shared" si="28"/>
        <v>9.4</v>
      </c>
      <c r="G338">
        <f t="shared" si="29"/>
        <v>154.18333333333334</v>
      </c>
      <c r="H338" s="3" t="str">
        <f t="shared" si="30"/>
        <v>[524] = {["comment"] = "09-24-00.0000N 154-11-00.0000E", ["callsignStr"] = "KRONK", ["latitude"] = 9.4, ["longitude"] = 154.183333333333 },</v>
      </c>
    </row>
    <row r="339" spans="1:8" ht="15" hidden="1" thickBot="1" x14ac:dyDescent="0.35">
      <c r="A339" s="4" t="s">
        <v>1068</v>
      </c>
      <c r="B339" s="4" t="s">
        <v>394</v>
      </c>
      <c r="C339" s="4" t="s">
        <v>1069</v>
      </c>
      <c r="D339" t="str">
        <f t="shared" si="26"/>
        <v>45-30-00.0000N</v>
      </c>
      <c r="E339" t="str">
        <f t="shared" si="27"/>
        <v>126-00-00.0000W</v>
      </c>
      <c r="F339">
        <f t="shared" si="28"/>
        <v>45.5</v>
      </c>
      <c r="G339">
        <f t="shared" si="29"/>
        <v>-126</v>
      </c>
      <c r="H339" s="3" t="str">
        <f t="shared" si="30"/>
        <v>[525] = {["comment"] = "45-30-00.0000N 126-00-00.0000W", ["callsignStr"] = "KS03A", ["latitude"] = 45.5, ["longitude"] = -126 },</v>
      </c>
    </row>
    <row r="340" spans="1:8" ht="15" hidden="1" thickBot="1" x14ac:dyDescent="0.35">
      <c r="A340" s="4" t="s">
        <v>1070</v>
      </c>
      <c r="B340" s="4" t="s">
        <v>394</v>
      </c>
      <c r="C340" s="4" t="s">
        <v>1071</v>
      </c>
      <c r="D340" t="str">
        <f t="shared" si="26"/>
        <v>46-00-00.0000N</v>
      </c>
      <c r="E340" t="str">
        <f t="shared" si="27"/>
        <v>126-00-00.0000W</v>
      </c>
      <c r="F340">
        <f t="shared" si="28"/>
        <v>46</v>
      </c>
      <c r="G340">
        <f t="shared" si="29"/>
        <v>-126</v>
      </c>
      <c r="H340" s="3" t="str">
        <f t="shared" si="30"/>
        <v>[526] = {["comment"] = "46-00-00.0000N 126-00-00.0000W", ["callsignStr"] = "KS06A", ["latitude"] = 46, ["longitude"] = -126 },</v>
      </c>
    </row>
    <row r="341" spans="1:8" ht="15" hidden="1" thickBot="1" x14ac:dyDescent="0.35">
      <c r="A341" s="4" t="s">
        <v>1072</v>
      </c>
      <c r="B341" s="4" t="s">
        <v>394</v>
      </c>
      <c r="C341" s="4" t="s">
        <v>1073</v>
      </c>
      <c r="D341" t="str">
        <f t="shared" si="26"/>
        <v>46-30-00.0000N</v>
      </c>
      <c r="E341" t="str">
        <f t="shared" si="27"/>
        <v>126-00-00.0000W</v>
      </c>
      <c r="F341">
        <f t="shared" si="28"/>
        <v>46.5</v>
      </c>
      <c r="G341">
        <f t="shared" si="29"/>
        <v>-126</v>
      </c>
      <c r="H341" s="3" t="str">
        <f t="shared" si="30"/>
        <v>[527] = {["comment"] = "46-30-00.0000N 126-00-00.0000W", ["callsignStr"] = "KS09A", ["latitude"] = 46.5, ["longitude"] = -126 },</v>
      </c>
    </row>
    <row r="342" spans="1:8" ht="15" hidden="1" thickBot="1" x14ac:dyDescent="0.35">
      <c r="A342" s="4" t="s">
        <v>1074</v>
      </c>
      <c r="B342" s="4" t="s">
        <v>394</v>
      </c>
      <c r="C342" s="4" t="s">
        <v>1075</v>
      </c>
      <c r="D342" t="str">
        <f t="shared" si="26"/>
        <v>47-00-00.0000N</v>
      </c>
      <c r="E342" t="str">
        <f t="shared" si="27"/>
        <v>126-00-00.0000W</v>
      </c>
      <c r="F342">
        <f t="shared" si="28"/>
        <v>47</v>
      </c>
      <c r="G342">
        <f t="shared" si="29"/>
        <v>-126</v>
      </c>
      <c r="H342" s="3" t="str">
        <f t="shared" si="30"/>
        <v>[528] = {["comment"] = "47-00-00.0000N 126-00-00.0000W", ["callsignStr"] = "KS12A", ["latitude"] = 47, ["longitude"] = -126 },</v>
      </c>
    </row>
    <row r="343" spans="1:8" ht="15" hidden="1" thickBot="1" x14ac:dyDescent="0.35">
      <c r="A343" s="4" t="s">
        <v>1076</v>
      </c>
      <c r="B343" s="4" t="s">
        <v>394</v>
      </c>
      <c r="C343" s="4" t="s">
        <v>1077</v>
      </c>
      <c r="D343" t="str">
        <f t="shared" si="26"/>
        <v>47-30-00.0000N</v>
      </c>
      <c r="E343" t="str">
        <f t="shared" si="27"/>
        <v>126-00-00.0000W</v>
      </c>
      <c r="F343">
        <f t="shared" si="28"/>
        <v>47.5</v>
      </c>
      <c r="G343">
        <f t="shared" si="29"/>
        <v>-126</v>
      </c>
      <c r="H343" s="3" t="str">
        <f t="shared" si="30"/>
        <v>[529] = {["comment"] = "47-30-00.0000N 126-00-00.0000W", ["callsignStr"] = "KS15A", ["latitude"] = 47.5, ["longitude"] = -126 },</v>
      </c>
    </row>
    <row r="344" spans="1:8" ht="15" hidden="1" thickBot="1" x14ac:dyDescent="0.35">
      <c r="A344" s="4" t="s">
        <v>1078</v>
      </c>
      <c r="B344" s="4" t="s">
        <v>394</v>
      </c>
      <c r="C344" s="4" t="s">
        <v>1079</v>
      </c>
      <c r="D344" t="str">
        <f t="shared" si="26"/>
        <v>48-00-00.0000N</v>
      </c>
      <c r="E344" t="str">
        <f t="shared" si="27"/>
        <v>126-00-00.0000W</v>
      </c>
      <c r="F344">
        <f t="shared" si="28"/>
        <v>48</v>
      </c>
      <c r="G344">
        <f t="shared" si="29"/>
        <v>-126</v>
      </c>
      <c r="H344" s="3" t="str">
        <f t="shared" si="30"/>
        <v>[530] = {["comment"] = "48-00-00.0000N 126-00-00.0000W", ["callsignStr"] = "KS18A", ["latitude"] = 48, ["longitude"] = -126 },</v>
      </c>
    </row>
    <row r="345" spans="1:8" ht="15" hidden="1" thickBot="1" x14ac:dyDescent="0.35">
      <c r="A345" s="4" t="s">
        <v>1080</v>
      </c>
      <c r="B345" s="4" t="s">
        <v>394</v>
      </c>
      <c r="C345" s="4" t="s">
        <v>1081</v>
      </c>
      <c r="D345" t="str">
        <f t="shared" si="26"/>
        <v>41-00-00.0000N</v>
      </c>
      <c r="E345" t="str">
        <f t="shared" si="27"/>
        <v>126-00-00.0000W</v>
      </c>
      <c r="F345">
        <f t="shared" si="28"/>
        <v>41</v>
      </c>
      <c r="G345">
        <f t="shared" si="29"/>
        <v>-126</v>
      </c>
      <c r="H345" s="3" t="str">
        <f t="shared" si="30"/>
        <v>[531] = {["comment"] = "41-00-00.0000N 126-00-00.0000W", ["callsignStr"] = "KS66A", ["latitude"] = 41, ["longitude"] = -126 },</v>
      </c>
    </row>
    <row r="346" spans="1:8" ht="15" hidden="1" thickBot="1" x14ac:dyDescent="0.35">
      <c r="A346" s="4" t="s">
        <v>1082</v>
      </c>
      <c r="B346" s="4" t="s">
        <v>394</v>
      </c>
      <c r="C346" s="4" t="s">
        <v>1083</v>
      </c>
      <c r="D346" t="str">
        <f t="shared" si="26"/>
        <v>41-30-00.0000N</v>
      </c>
      <c r="E346" t="str">
        <f t="shared" si="27"/>
        <v>126-00-00.0000W</v>
      </c>
      <c r="F346">
        <f t="shared" si="28"/>
        <v>41.5</v>
      </c>
      <c r="G346">
        <f t="shared" si="29"/>
        <v>-126</v>
      </c>
      <c r="H346" s="3" t="str">
        <f t="shared" si="30"/>
        <v>[532] = {["comment"] = "41-30-00.0000N 126-00-00.0000W", ["callsignStr"] = "KS69A", ["latitude"] = 41.5, ["longitude"] = -126 },</v>
      </c>
    </row>
    <row r="347" spans="1:8" ht="15" hidden="1" thickBot="1" x14ac:dyDescent="0.35">
      <c r="A347" s="4" t="s">
        <v>1084</v>
      </c>
      <c r="B347" s="4" t="s">
        <v>394</v>
      </c>
      <c r="C347" s="4" t="s">
        <v>1085</v>
      </c>
      <c r="D347" t="str">
        <f t="shared" si="26"/>
        <v>42-00-00.0000N</v>
      </c>
      <c r="E347" t="str">
        <f t="shared" si="27"/>
        <v>126-00-00.0000W</v>
      </c>
      <c r="F347">
        <f t="shared" si="28"/>
        <v>42</v>
      </c>
      <c r="G347">
        <f t="shared" si="29"/>
        <v>-126</v>
      </c>
      <c r="H347" s="3" t="str">
        <f t="shared" si="30"/>
        <v>[533] = {["comment"] = "42-00-00.0000N 126-00-00.0000W", ["callsignStr"] = "KS72A", ["latitude"] = 42, ["longitude"] = -126 },</v>
      </c>
    </row>
    <row r="348" spans="1:8" ht="15" hidden="1" thickBot="1" x14ac:dyDescent="0.35">
      <c r="A348" s="4" t="s">
        <v>1086</v>
      </c>
      <c r="B348" s="4" t="s">
        <v>394</v>
      </c>
      <c r="C348" s="4" t="s">
        <v>1087</v>
      </c>
      <c r="D348" t="str">
        <f t="shared" si="26"/>
        <v>42-30-00.0000N</v>
      </c>
      <c r="E348" t="str">
        <f t="shared" si="27"/>
        <v>126-00-00.0000W</v>
      </c>
      <c r="F348">
        <f t="shared" si="28"/>
        <v>42.5</v>
      </c>
      <c r="G348">
        <f t="shared" si="29"/>
        <v>-126</v>
      </c>
      <c r="H348" s="3" t="str">
        <f t="shared" si="30"/>
        <v>[534] = {["comment"] = "42-30-00.0000N 126-00-00.0000W", ["callsignStr"] = "KS75A", ["latitude"] = 42.5, ["longitude"] = -126 },</v>
      </c>
    </row>
    <row r="349" spans="1:8" ht="15" hidden="1" thickBot="1" x14ac:dyDescent="0.35">
      <c r="A349" s="4" t="s">
        <v>1088</v>
      </c>
      <c r="B349" s="4" t="s">
        <v>394</v>
      </c>
      <c r="C349" s="4" t="s">
        <v>1089</v>
      </c>
      <c r="D349" t="str">
        <f t="shared" si="26"/>
        <v>43-00-00.0000N</v>
      </c>
      <c r="E349" t="str">
        <f t="shared" si="27"/>
        <v>126-00-00.0000W</v>
      </c>
      <c r="F349">
        <f t="shared" si="28"/>
        <v>43</v>
      </c>
      <c r="G349">
        <f t="shared" si="29"/>
        <v>-126</v>
      </c>
      <c r="H349" s="3" t="str">
        <f t="shared" si="30"/>
        <v>[535] = {["comment"] = "43-00-00.0000N 126-00-00.0000W", ["callsignStr"] = "KS78A", ["latitude"] = 43, ["longitude"] = -126 },</v>
      </c>
    </row>
    <row r="350" spans="1:8" ht="15" hidden="1" thickBot="1" x14ac:dyDescent="0.35">
      <c r="A350" s="4" t="s">
        <v>1090</v>
      </c>
      <c r="B350" s="4" t="s">
        <v>394</v>
      </c>
      <c r="C350" s="4" t="s">
        <v>1091</v>
      </c>
      <c r="D350" t="str">
        <f t="shared" si="26"/>
        <v>43-30-00.0000N</v>
      </c>
      <c r="E350" t="str">
        <f t="shared" si="27"/>
        <v>126-00-00.0000W</v>
      </c>
      <c r="F350">
        <f t="shared" si="28"/>
        <v>43.5</v>
      </c>
      <c r="G350">
        <f t="shared" si="29"/>
        <v>-126</v>
      </c>
      <c r="H350" s="3" t="str">
        <f t="shared" si="30"/>
        <v>[536] = {["comment"] = "43-30-00.0000N 126-00-00.0000W", ["callsignStr"] = "KS81A", ["latitude"] = 43.5, ["longitude"] = -126 },</v>
      </c>
    </row>
    <row r="351" spans="1:8" ht="15" hidden="1" thickBot="1" x14ac:dyDescent="0.35">
      <c r="A351" s="4" t="s">
        <v>1092</v>
      </c>
      <c r="B351" s="4" t="s">
        <v>394</v>
      </c>
      <c r="C351" s="4" t="s">
        <v>1093</v>
      </c>
      <c r="D351" t="str">
        <f t="shared" si="26"/>
        <v>44-00-00.0000N</v>
      </c>
      <c r="E351" t="str">
        <f t="shared" si="27"/>
        <v>126-00-00.0000W</v>
      </c>
      <c r="F351">
        <f t="shared" si="28"/>
        <v>44</v>
      </c>
      <c r="G351">
        <f t="shared" si="29"/>
        <v>-126</v>
      </c>
      <c r="H351" s="3" t="str">
        <f t="shared" si="30"/>
        <v>[537] = {["comment"] = "44-00-00.0000N 126-00-00.0000W", ["callsignStr"] = "KS84A", ["latitude"] = 44, ["longitude"] = -126 },</v>
      </c>
    </row>
    <row r="352" spans="1:8" ht="15" hidden="1" thickBot="1" x14ac:dyDescent="0.35">
      <c r="A352" s="4" t="s">
        <v>1094</v>
      </c>
      <c r="B352" s="4" t="s">
        <v>394</v>
      </c>
      <c r="C352" s="4" t="s">
        <v>1095</v>
      </c>
      <c r="D352" t="str">
        <f t="shared" si="26"/>
        <v>44-30-00.0000N</v>
      </c>
      <c r="E352" t="str">
        <f t="shared" si="27"/>
        <v>126-00-00.0000W</v>
      </c>
      <c r="F352">
        <f t="shared" si="28"/>
        <v>44.5</v>
      </c>
      <c r="G352">
        <f t="shared" si="29"/>
        <v>-126</v>
      </c>
      <c r="H352" s="3" t="str">
        <f t="shared" si="30"/>
        <v>[538] = {["comment"] = "44-30-00.0000N 126-00-00.0000W", ["callsignStr"] = "KS87A", ["latitude"] = 44.5, ["longitude"] = -126 },</v>
      </c>
    </row>
    <row r="353" spans="1:8" ht="15" hidden="1" thickBot="1" x14ac:dyDescent="0.35">
      <c r="A353" s="4" t="s">
        <v>1096</v>
      </c>
      <c r="B353" s="4" t="s">
        <v>394</v>
      </c>
      <c r="C353" s="4" t="s">
        <v>1097</v>
      </c>
      <c r="D353" t="str">
        <f t="shared" si="26"/>
        <v>45-00-00.0000N</v>
      </c>
      <c r="E353" t="str">
        <f t="shared" si="27"/>
        <v>126-00-00.0000W</v>
      </c>
      <c r="F353">
        <f t="shared" si="28"/>
        <v>45</v>
      </c>
      <c r="G353">
        <f t="shared" si="29"/>
        <v>-126</v>
      </c>
      <c r="H353" s="3" t="str">
        <f t="shared" si="30"/>
        <v>[539] = {["comment"] = "45-00-00.0000N 126-00-00.0000W", ["callsignStr"] = "KS90A", ["latitude"] = 45, ["longitude"] = -126 },</v>
      </c>
    </row>
    <row r="354" spans="1:8" ht="29.4" hidden="1" thickBot="1" x14ac:dyDescent="0.35">
      <c r="A354" s="4" t="s">
        <v>1098</v>
      </c>
      <c r="B354" s="4" t="s">
        <v>394</v>
      </c>
      <c r="C354" s="4" t="s">
        <v>1099</v>
      </c>
      <c r="D354" t="str">
        <f t="shared" si="26"/>
        <v>50-11-58.9000N</v>
      </c>
      <c r="E354" t="str">
        <f t="shared" si="27"/>
        <v>131-53-05.8900W</v>
      </c>
      <c r="F354">
        <f t="shared" si="28"/>
        <v>50.19969444444444</v>
      </c>
      <c r="G354">
        <f t="shared" si="29"/>
        <v>-131.88496944444444</v>
      </c>
      <c r="H354" s="3" t="str">
        <f t="shared" si="30"/>
        <v>[540] = {["comment"] = "50-11-58.9000N 131-53-05.8900W", ["callsignStr"] = "KURTT", ["latitude"] = 50.1996944444444, ["longitude"] = -131.884969444444 },</v>
      </c>
    </row>
    <row r="355" spans="1:8" ht="29.4" hidden="1" thickBot="1" x14ac:dyDescent="0.35">
      <c r="A355" s="4" t="s">
        <v>1100</v>
      </c>
      <c r="B355" s="4" t="s">
        <v>394</v>
      </c>
      <c r="C355" s="4" t="s">
        <v>1101</v>
      </c>
      <c r="D355" t="str">
        <f t="shared" si="26"/>
        <v>22-14-07.0000N</v>
      </c>
      <c r="E355" t="str">
        <f t="shared" si="27"/>
        <v>156-49-47.0000W</v>
      </c>
      <c r="F355">
        <f t="shared" si="28"/>
        <v>22.235277777777778</v>
      </c>
      <c r="G355">
        <f t="shared" si="29"/>
        <v>-156.82972222222222</v>
      </c>
      <c r="H355" s="3" t="str">
        <f t="shared" si="30"/>
        <v>[541] = {["comment"] = "22-14-07.0000N 156-49-47.0000W", ["callsignStr"] = "KYLIO", ["latitude"] = 22.2352777777778, ["longitude"] = -156.829722222222 },</v>
      </c>
    </row>
    <row r="356" spans="1:8" ht="29.4" hidden="1" thickBot="1" x14ac:dyDescent="0.35">
      <c r="A356" s="4" t="s">
        <v>1102</v>
      </c>
      <c r="B356" s="4" t="s">
        <v>394</v>
      </c>
      <c r="C356" s="4" t="s">
        <v>1103</v>
      </c>
      <c r="D356" t="str">
        <f t="shared" si="26"/>
        <v>43-26-24.0000N</v>
      </c>
      <c r="E356" t="str">
        <f t="shared" si="27"/>
        <v>126-39-24.0000W</v>
      </c>
      <c r="F356">
        <f t="shared" si="28"/>
        <v>43.44</v>
      </c>
      <c r="G356">
        <f t="shared" si="29"/>
        <v>-126.65666666666667</v>
      </c>
      <c r="H356" s="3" t="str">
        <f t="shared" si="30"/>
        <v>[542] = {["comment"] = "43-26-24.0000N 126-39-24.0000W", ["callsignStr"] = "KYLLE", ["latitude"] = 43.44, ["longitude"] = -126.656666666667 },</v>
      </c>
    </row>
    <row r="357" spans="1:8" ht="29.4" thickBot="1" x14ac:dyDescent="0.35">
      <c r="A357" s="4" t="s">
        <v>1104</v>
      </c>
      <c r="B357" s="4" t="s">
        <v>394</v>
      </c>
      <c r="C357" s="4" t="s">
        <v>1105</v>
      </c>
      <c r="D357" t="str">
        <f t="shared" si="26"/>
        <v>16-40-00.0000N</v>
      </c>
      <c r="E357" t="str">
        <f t="shared" si="27"/>
        <v>136-42-00.0000E</v>
      </c>
      <c r="F357">
        <f t="shared" si="28"/>
        <v>16.666666666666668</v>
      </c>
      <c r="G357">
        <f t="shared" si="29"/>
        <v>136.69999999999999</v>
      </c>
      <c r="H357" s="3" t="str">
        <f t="shared" si="30"/>
        <v>[543] = {["comment"] = "16-40-00.0000N 136-42-00.0000E", ["callsignStr"] = "KYWEE", ["latitude"] = 16.6666666666667, ["longitude"] = 136.7 },</v>
      </c>
    </row>
    <row r="358" spans="1:8" ht="29.4" thickBot="1" x14ac:dyDescent="0.35">
      <c r="A358" s="4" t="s">
        <v>1106</v>
      </c>
      <c r="B358" s="4" t="s">
        <v>394</v>
      </c>
      <c r="C358" s="4" t="s">
        <v>1107</v>
      </c>
      <c r="D358" t="str">
        <f t="shared" si="26"/>
        <v>14-51-00.0000N</v>
      </c>
      <c r="E358" t="str">
        <f t="shared" si="27"/>
        <v>140-50-00.0000E</v>
      </c>
      <c r="F358">
        <f t="shared" si="28"/>
        <v>14.85</v>
      </c>
      <c r="G358">
        <f t="shared" si="29"/>
        <v>140.83333333333334</v>
      </c>
      <c r="H358" s="3" t="str">
        <f t="shared" si="30"/>
        <v>[544] = {["comment"] = "14-51-00.0000N 140-50-00.0000E", ["callsignStr"] = "LADSS", ["latitude"] = 14.85, ["longitude"] = 140.833333333333 },</v>
      </c>
    </row>
    <row r="359" spans="1:8" ht="29.4" hidden="1" thickBot="1" x14ac:dyDescent="0.35">
      <c r="A359" s="4" t="s">
        <v>1108</v>
      </c>
      <c r="B359" s="4" t="s">
        <v>394</v>
      </c>
      <c r="C359" s="4" t="s">
        <v>1109</v>
      </c>
      <c r="D359" t="str">
        <f t="shared" si="26"/>
        <v>07-43-41.0000N</v>
      </c>
      <c r="E359" t="str">
        <f t="shared" si="27"/>
        <v>167-08-04.0000E</v>
      </c>
      <c r="F359">
        <f t="shared" si="28"/>
        <v>7.7280555555555557</v>
      </c>
      <c r="G359">
        <f t="shared" si="29"/>
        <v>167.13444444444443</v>
      </c>
      <c r="H359" s="3" t="str">
        <f t="shared" si="30"/>
        <v>[545] = {["comment"] = "07-43-41.0000N 167-08-04.0000E", ["callsignStr"] = "LAGSE", ["latitude"] = 7.72805555555556, ["longitude"] = 167.134444444444 },</v>
      </c>
    </row>
    <row r="360" spans="1:8" ht="15" hidden="1" thickBot="1" x14ac:dyDescent="0.35">
      <c r="A360" s="4" t="s">
        <v>1110</v>
      </c>
      <c r="B360" s="4" t="s">
        <v>394</v>
      </c>
      <c r="C360" s="4" t="s">
        <v>1111</v>
      </c>
      <c r="D360" t="str">
        <f t="shared" si="26"/>
        <v>82-00-00.0000N</v>
      </c>
      <c r="E360" t="str">
        <f t="shared" si="27"/>
        <v>141-00-00.0000W</v>
      </c>
      <c r="F360">
        <f t="shared" si="28"/>
        <v>82</v>
      </c>
      <c r="G360">
        <f t="shared" si="29"/>
        <v>-141</v>
      </c>
      <c r="H360" s="3" t="str">
        <f t="shared" si="30"/>
        <v>[546] = {["comment"] = "82-00-00.0000N 141-00-00.0000W", ["callsignStr"] = "LAHEY", ["latitude"] = 82, ["longitude"] = -141 },</v>
      </c>
    </row>
    <row r="361" spans="1:8" ht="29.4" hidden="1" thickBot="1" x14ac:dyDescent="0.35">
      <c r="A361" s="4" t="s">
        <v>1112</v>
      </c>
      <c r="B361" s="4" t="s">
        <v>394</v>
      </c>
      <c r="C361" s="4" t="s">
        <v>1113</v>
      </c>
      <c r="D361" t="str">
        <f t="shared" si="26"/>
        <v>41-41-41.0000N</v>
      </c>
      <c r="E361" t="str">
        <f t="shared" si="27"/>
        <v>126-50-24.0000W</v>
      </c>
      <c r="F361">
        <f t="shared" si="28"/>
        <v>41.694722222222218</v>
      </c>
      <c r="G361">
        <f t="shared" si="29"/>
        <v>-126.83999999999999</v>
      </c>
      <c r="H361" s="3" t="str">
        <f t="shared" si="30"/>
        <v>[547] = {["comment"] = "41-41-41.0000N 126-50-24.0000W", ["callsignStr"] = "LATNE", ["latitude"] = 41.6947222222222, ["longitude"] = -126.84 },</v>
      </c>
    </row>
    <row r="362" spans="1:8" ht="15" hidden="1" thickBot="1" x14ac:dyDescent="0.35">
      <c r="A362" s="4" t="s">
        <v>1114</v>
      </c>
      <c r="B362" s="4" t="s">
        <v>394</v>
      </c>
      <c r="C362" s="4" t="s">
        <v>1115</v>
      </c>
      <c r="D362" t="str">
        <f t="shared" si="26"/>
        <v>85-30-00.0000N</v>
      </c>
      <c r="E362" t="str">
        <f t="shared" si="27"/>
        <v>141-00-00.0000W</v>
      </c>
      <c r="F362">
        <f t="shared" si="28"/>
        <v>85.5</v>
      </c>
      <c r="G362">
        <f t="shared" si="29"/>
        <v>-141</v>
      </c>
      <c r="H362" s="3" t="str">
        <f t="shared" si="30"/>
        <v>[548] = {["comment"] = "85-30-00.0000N 141-00-00.0000W", ["callsignStr"] = "LEESL", ["latitude"] = 85.5, ["longitude"] = -141 },</v>
      </c>
    </row>
    <row r="363" spans="1:8" ht="29.4" hidden="1" thickBot="1" x14ac:dyDescent="0.35">
      <c r="A363" s="4" t="s">
        <v>1116</v>
      </c>
      <c r="B363" s="4" t="s">
        <v>394</v>
      </c>
      <c r="C363" s="4" t="s">
        <v>1117</v>
      </c>
      <c r="D363" t="str">
        <f t="shared" si="26"/>
        <v>15-53-48.0000N</v>
      </c>
      <c r="E363" t="str">
        <f t="shared" si="27"/>
        <v>135-00-00.0000E</v>
      </c>
      <c r="F363">
        <f t="shared" si="28"/>
        <v>15.896666666666667</v>
      </c>
      <c r="G363">
        <f t="shared" si="29"/>
        <v>135</v>
      </c>
      <c r="H363" s="3" t="str">
        <f t="shared" si="30"/>
        <v>[549] = {["comment"] = "15-53-48.0000N 135-00-00.0000E", ["callsignStr"] = "LEETA", ["latitude"] = 15.8966666666667, ["longitude"] = 135 },</v>
      </c>
    </row>
    <row r="364" spans="1:8" ht="29.4" hidden="1" thickBot="1" x14ac:dyDescent="0.35">
      <c r="A364" s="4" t="s">
        <v>1118</v>
      </c>
      <c r="B364" s="4" t="s">
        <v>394</v>
      </c>
      <c r="C364" s="4" t="s">
        <v>1119</v>
      </c>
      <c r="D364" t="str">
        <f t="shared" si="26"/>
        <v>06-39-49.0000N</v>
      </c>
      <c r="E364" t="str">
        <f t="shared" si="27"/>
        <v>165-36-24.0000E</v>
      </c>
      <c r="F364">
        <f t="shared" si="28"/>
        <v>6.6636111111111118</v>
      </c>
      <c r="G364">
        <f t="shared" si="29"/>
        <v>165.60666666666665</v>
      </c>
      <c r="H364" s="3" t="str">
        <f t="shared" si="30"/>
        <v>[550] = {["comment"] = "06-39-49.0000N 165-36-24.0000E", ["callsignStr"] = "LEKIY", ["latitude"] = 6.66361111111111, ["longitude"] = 165.606666666667 },</v>
      </c>
    </row>
    <row r="365" spans="1:8" ht="29.4" hidden="1" thickBot="1" x14ac:dyDescent="0.35">
      <c r="A365" s="4" t="s">
        <v>1120</v>
      </c>
      <c r="B365" s="4" t="s">
        <v>394</v>
      </c>
      <c r="C365" s="4" t="s">
        <v>1121</v>
      </c>
      <c r="D365" t="str">
        <f t="shared" si="26"/>
        <v>05-35-47.0000N</v>
      </c>
      <c r="E365" t="str">
        <f t="shared" si="27"/>
        <v>164-05-17.0000E</v>
      </c>
      <c r="F365">
        <f t="shared" si="28"/>
        <v>5.5963888888888889</v>
      </c>
      <c r="G365">
        <f t="shared" si="29"/>
        <v>164.08805555555557</v>
      </c>
      <c r="H365" s="3" t="str">
        <f t="shared" si="30"/>
        <v>[551] = {["comment"] = "05-35-47.0000N 164-05-17.0000E", ["callsignStr"] = "LENIA", ["latitude"] = 5.59638888888889, ["longitude"] = 164.088055555556 },</v>
      </c>
    </row>
    <row r="366" spans="1:8" ht="29.4" hidden="1" thickBot="1" x14ac:dyDescent="0.35">
      <c r="A366" s="4" t="s">
        <v>1122</v>
      </c>
      <c r="B366" s="4" t="s">
        <v>394</v>
      </c>
      <c r="C366" s="4" t="s">
        <v>1123</v>
      </c>
      <c r="D366" t="str">
        <f t="shared" si="26"/>
        <v>30-31-30.0000N</v>
      </c>
      <c r="E366" t="str">
        <f t="shared" si="27"/>
        <v>122-59-42.0000W</v>
      </c>
      <c r="F366">
        <f t="shared" si="28"/>
        <v>30.524999999999999</v>
      </c>
      <c r="G366">
        <f t="shared" si="29"/>
        <v>-122.995</v>
      </c>
      <c r="H366" s="3" t="str">
        <f t="shared" si="30"/>
        <v>[552] = {["comment"] = "30-31-30.0000N 122-59-42.0000W", ["callsignStr"] = "LENNA", ["latitude"] = 30.525, ["longitude"] = -122.995 },</v>
      </c>
    </row>
    <row r="367" spans="1:8" ht="29.4" hidden="1" thickBot="1" x14ac:dyDescent="0.35">
      <c r="A367" s="4" t="s">
        <v>1124</v>
      </c>
      <c r="B367" s="4" t="s">
        <v>394</v>
      </c>
      <c r="C367" s="4" t="s">
        <v>1125</v>
      </c>
      <c r="D367" t="str">
        <f t="shared" si="26"/>
        <v>36-00-00.0000N</v>
      </c>
      <c r="E367" t="str">
        <f t="shared" si="27"/>
        <v>121-50-00.0000W</v>
      </c>
      <c r="F367">
        <f t="shared" si="28"/>
        <v>36</v>
      </c>
      <c r="G367">
        <f t="shared" si="29"/>
        <v>-121.83333333333333</v>
      </c>
      <c r="H367" s="3" t="str">
        <f t="shared" si="30"/>
        <v>[553] = {["comment"] = "36-00-00.0000N 121-50-00.0000W", ["callsignStr"] = "LIBBO", ["latitude"] = 36, ["longitude"] = -121.833333333333 },</v>
      </c>
    </row>
    <row r="368" spans="1:8" ht="29.4" hidden="1" thickBot="1" x14ac:dyDescent="0.35">
      <c r="A368" s="4" t="s">
        <v>1126</v>
      </c>
      <c r="B368" s="4" t="s">
        <v>394</v>
      </c>
      <c r="C368" s="4" t="s">
        <v>1127</v>
      </c>
      <c r="D368" t="str">
        <f t="shared" si="26"/>
        <v>08-29-51.0000N</v>
      </c>
      <c r="E368" t="str">
        <f t="shared" si="27"/>
        <v>166-35-28.0000E</v>
      </c>
      <c r="F368">
        <f t="shared" si="28"/>
        <v>8.4974999999999987</v>
      </c>
      <c r="G368">
        <f t="shared" si="29"/>
        <v>166.59111111111113</v>
      </c>
      <c r="H368" s="3" t="str">
        <f t="shared" si="30"/>
        <v>[554] = {["comment"] = "08-29-51.0000N 166-35-28.0000E", ["callsignStr"] = "LICIA", ["latitude"] = 8.4975, ["longitude"] = 166.591111111111 },</v>
      </c>
    </row>
    <row r="369" spans="1:8" ht="29.4" hidden="1" thickBot="1" x14ac:dyDescent="0.35">
      <c r="A369" s="4" t="s">
        <v>1128</v>
      </c>
      <c r="B369" s="4" t="s">
        <v>394</v>
      </c>
      <c r="C369" s="4" t="s">
        <v>1129</v>
      </c>
      <c r="D369" t="str">
        <f t="shared" si="26"/>
        <v>09-18-00.0000S</v>
      </c>
      <c r="E369" t="str">
        <f t="shared" si="27"/>
        <v>142-20-00.0000E</v>
      </c>
      <c r="F369">
        <f t="shared" si="28"/>
        <v>9.3000000000000007</v>
      </c>
      <c r="G369">
        <f t="shared" si="29"/>
        <v>142.33333333333334</v>
      </c>
      <c r="H369" s="3" t="str">
        <f t="shared" si="30"/>
        <v>[555] = {["comment"] = "09-18-00.0000S 142-20-00.0000E", ["callsignStr"] = "LIDIT", ["latitude"] = 9.3, ["longitude"] = 142.333333333333 },</v>
      </c>
    </row>
    <row r="370" spans="1:8" ht="29.4" hidden="1" thickBot="1" x14ac:dyDescent="0.35">
      <c r="A370" s="4" t="s">
        <v>1130</v>
      </c>
      <c r="B370" s="4" t="s">
        <v>394</v>
      </c>
      <c r="C370" s="4" t="s">
        <v>1131</v>
      </c>
      <c r="D370" t="str">
        <f t="shared" si="26"/>
        <v>22-30-27.7200N</v>
      </c>
      <c r="E370" t="str">
        <f t="shared" si="27"/>
        <v>161-34-59.4600W</v>
      </c>
      <c r="F370">
        <f t="shared" si="28"/>
        <v>22.5077</v>
      </c>
      <c r="G370">
        <f t="shared" si="29"/>
        <v>-161.58318333333332</v>
      </c>
      <c r="H370" s="3" t="str">
        <f t="shared" si="30"/>
        <v>[556] = {["comment"] = "SOK*C*277.00/120.00 22-30-27.7200N 161-34-59.4600W", ["callsignStr"] = "LILIA", ["latitude"] = 22.5077, ["longitude"] = -161.583183333333 },</v>
      </c>
    </row>
    <row r="371" spans="1:8" ht="29.4" hidden="1" thickBot="1" x14ac:dyDescent="0.35">
      <c r="A371" s="4" t="s">
        <v>1132</v>
      </c>
      <c r="B371" s="4" t="s">
        <v>394</v>
      </c>
      <c r="C371" s="4" t="s">
        <v>1133</v>
      </c>
      <c r="D371" t="str">
        <f t="shared" si="26"/>
        <v>16-39-42.0000N</v>
      </c>
      <c r="E371" t="str">
        <f t="shared" si="27"/>
        <v>130-00-00.0000E</v>
      </c>
      <c r="F371">
        <f t="shared" si="28"/>
        <v>16.661666666666665</v>
      </c>
      <c r="G371">
        <f t="shared" si="29"/>
        <v>130</v>
      </c>
      <c r="H371" s="3" t="str">
        <f t="shared" si="30"/>
        <v>[557] = {["comment"] = "16-39-42.0000N 130-00-00.0000E", ["callsignStr"] = "LIMLE", ["latitude"] = 16.6616666666667, ["longitude"] = 130 },</v>
      </c>
    </row>
    <row r="372" spans="1:8" ht="29.4" hidden="1" thickBot="1" x14ac:dyDescent="0.35">
      <c r="A372" s="4" t="s">
        <v>1134</v>
      </c>
      <c r="B372" s="4" t="s">
        <v>394</v>
      </c>
      <c r="C372" s="4" t="s">
        <v>1135</v>
      </c>
      <c r="D372" t="str">
        <f t="shared" si="26"/>
        <v>53-00-00.0000N</v>
      </c>
      <c r="E372" t="str">
        <f t="shared" si="27"/>
        <v>136-34-25.0000W</v>
      </c>
      <c r="F372">
        <f t="shared" si="28"/>
        <v>53</v>
      </c>
      <c r="G372">
        <f t="shared" si="29"/>
        <v>-136.57361111111112</v>
      </c>
      <c r="H372" s="3" t="str">
        <f t="shared" si="30"/>
        <v>[558] = {["comment"] = "53-00-00.0000N 136-34-25.0000W", ["callsignStr"] = "LINGO", ["latitude"] = 53, ["longitude"] = -136.573611111111 },</v>
      </c>
    </row>
    <row r="373" spans="1:8" ht="29.4" hidden="1" thickBot="1" x14ac:dyDescent="0.35">
      <c r="A373" s="4" t="s">
        <v>1136</v>
      </c>
      <c r="B373" s="4" t="s">
        <v>394</v>
      </c>
      <c r="C373" s="4" t="s">
        <v>1137</v>
      </c>
      <c r="D373" t="str">
        <f t="shared" si="26"/>
        <v>41-39-23.0000N</v>
      </c>
      <c r="E373" t="str">
        <f t="shared" si="27"/>
        <v>126-30-00.0000W</v>
      </c>
      <c r="F373">
        <f t="shared" si="28"/>
        <v>41.656388888888884</v>
      </c>
      <c r="G373">
        <f t="shared" si="29"/>
        <v>-126.5</v>
      </c>
      <c r="H373" s="3" t="str">
        <f t="shared" si="30"/>
        <v>[559] = {["comment"] = "41-39-23.0000N 126-30-00.0000W", ["callsignStr"] = "LINUZ", ["latitude"] = 41.6563888888889, ["longitude"] = -126.5 },</v>
      </c>
    </row>
    <row r="374" spans="1:8" ht="29.4" hidden="1" thickBot="1" x14ac:dyDescent="0.35">
      <c r="A374" s="4" t="s">
        <v>1138</v>
      </c>
      <c r="B374" s="4" t="s">
        <v>394</v>
      </c>
      <c r="C374" s="4" t="s">
        <v>1139</v>
      </c>
      <c r="D374" t="str">
        <f t="shared" si="26"/>
        <v>21-10-25.0000N</v>
      </c>
      <c r="E374" t="str">
        <f t="shared" si="27"/>
        <v>156-07-30.0000W</v>
      </c>
      <c r="F374">
        <f t="shared" si="28"/>
        <v>21.173611111111111</v>
      </c>
      <c r="G374">
        <f t="shared" si="29"/>
        <v>-156.125</v>
      </c>
      <c r="H374" s="3" t="str">
        <f t="shared" si="30"/>
        <v>[560] = {["comment"] = "21-10-25.0000N 156-07-30.0000W", ["callsignStr"] = "LNDHY", ["latitude"] = 21.1736111111111, ["longitude"] = -156.125 },</v>
      </c>
    </row>
    <row r="375" spans="1:8" ht="29.4" thickBot="1" x14ac:dyDescent="0.35">
      <c r="A375" s="4" t="s">
        <v>1140</v>
      </c>
      <c r="B375" s="4" t="s">
        <v>394</v>
      </c>
      <c r="C375" s="4" t="s">
        <v>1141</v>
      </c>
      <c r="D375" t="str">
        <f t="shared" si="26"/>
        <v>12-14-31.0790N</v>
      </c>
      <c r="E375" t="str">
        <f t="shared" si="27"/>
        <v>142-40-41.3580E</v>
      </c>
      <c r="F375">
        <f t="shared" si="28"/>
        <v>12.241966388888889</v>
      </c>
      <c r="G375">
        <f t="shared" si="29"/>
        <v>142.678155</v>
      </c>
      <c r="H375" s="3" t="str">
        <f t="shared" si="30"/>
        <v>[561] = {["comment"] = "12-14-31.0790N 142-40-41.3580E", ["callsignStr"] = "LOEBB", ["latitude"] = 12.2419663888889, ["longitude"] = 142.678155 },</v>
      </c>
    </row>
    <row r="376" spans="1:8" ht="29.4" hidden="1" thickBot="1" x14ac:dyDescent="0.35">
      <c r="A376" s="4" t="s">
        <v>1142</v>
      </c>
      <c r="B376" s="4" t="s">
        <v>394</v>
      </c>
      <c r="C376" s="4" t="s">
        <v>1143</v>
      </c>
      <c r="D376" t="str">
        <f t="shared" si="26"/>
        <v>08-12-06.0000N</v>
      </c>
      <c r="E376" t="str">
        <f t="shared" si="27"/>
        <v>164-44-54.0000E</v>
      </c>
      <c r="F376">
        <f t="shared" si="28"/>
        <v>8.2016666666666662</v>
      </c>
      <c r="G376">
        <f t="shared" si="29"/>
        <v>164.74833333333331</v>
      </c>
      <c r="H376" s="3" t="str">
        <f t="shared" si="30"/>
        <v>[562] = {["comment"] = "08-12-06.0000N 164-44-54.0000E", ["callsignStr"] = "LOOIS", ["latitude"] = 8.20166666666667, ["longitude"] = 164.748333333333 },</v>
      </c>
    </row>
    <row r="377" spans="1:8" ht="29.4" hidden="1" thickBot="1" x14ac:dyDescent="0.35">
      <c r="A377" s="4" t="s">
        <v>1144</v>
      </c>
      <c r="B377" s="4" t="s">
        <v>394</v>
      </c>
      <c r="C377" s="4" t="s">
        <v>1145</v>
      </c>
      <c r="D377" t="str">
        <f t="shared" si="26"/>
        <v>07-25-48.0000N</v>
      </c>
      <c r="E377" t="str">
        <f t="shared" si="27"/>
        <v>165-03-33.0000E</v>
      </c>
      <c r="F377">
        <f t="shared" si="28"/>
        <v>7.4300000000000006</v>
      </c>
      <c r="G377">
        <f t="shared" si="29"/>
        <v>165.05916666666667</v>
      </c>
      <c r="H377" s="3" t="str">
        <f t="shared" si="30"/>
        <v>[563] = {["comment"] = "07-25-48.0000N 165-03-33.0000E", ["callsignStr"] = "LOWEY", ["latitude"] = 7.43, ["longitude"] = 165.059166666667 },</v>
      </c>
    </row>
    <row r="378" spans="1:8" ht="29.4" hidden="1" thickBot="1" x14ac:dyDescent="0.35">
      <c r="A378" s="4" t="s">
        <v>1146</v>
      </c>
      <c r="B378" s="4" t="s">
        <v>394</v>
      </c>
      <c r="C378" s="4" t="s">
        <v>1147</v>
      </c>
      <c r="D378" t="str">
        <f t="shared" si="26"/>
        <v>06-21-31.0000N</v>
      </c>
      <c r="E378" t="str">
        <f t="shared" si="27"/>
        <v>163-32-11.0000E</v>
      </c>
      <c r="F378">
        <f t="shared" si="28"/>
        <v>6.3586111111111103</v>
      </c>
      <c r="G378">
        <f t="shared" si="29"/>
        <v>163.53638888888889</v>
      </c>
      <c r="H378" s="3" t="str">
        <f t="shared" si="30"/>
        <v>[564] = {["comment"] = "06-21-31.0000N 163-32-11.0000E", ["callsignStr"] = "LYNIS", ["latitude"] = 6.35861111111111, ["longitude"] = 163.536388888889 },</v>
      </c>
    </row>
    <row r="379" spans="1:8" ht="29.4" hidden="1" thickBot="1" x14ac:dyDescent="0.35">
      <c r="A379" s="4" t="s">
        <v>1148</v>
      </c>
      <c r="B379" s="4" t="s">
        <v>394</v>
      </c>
      <c r="C379" s="4" t="s">
        <v>1149</v>
      </c>
      <c r="D379" t="str">
        <f t="shared" si="26"/>
        <v>03-30-00.0000N</v>
      </c>
      <c r="E379" t="str">
        <f t="shared" si="27"/>
        <v>141-05-00.0000W</v>
      </c>
      <c r="F379">
        <f t="shared" si="28"/>
        <v>3.5</v>
      </c>
      <c r="G379">
        <f t="shared" si="29"/>
        <v>-141.08333333333334</v>
      </c>
      <c r="H379" s="3" t="str">
        <f t="shared" si="30"/>
        <v>[565] = {["comment"] = "03-30-00.0000N 141-05-00.0000W", ["callsignStr"] = "MAEVA", ["latitude"] = 3.5, ["longitude"] = -141.083333333333 },</v>
      </c>
    </row>
    <row r="380" spans="1:8" ht="29.4" hidden="1" thickBot="1" x14ac:dyDescent="0.35">
      <c r="A380" s="4" t="s">
        <v>1150</v>
      </c>
      <c r="B380" s="4" t="s">
        <v>394</v>
      </c>
      <c r="C380" s="4" t="s">
        <v>1151</v>
      </c>
      <c r="D380" t="str">
        <f t="shared" si="26"/>
        <v>35-44-27.3800N</v>
      </c>
      <c r="E380" t="str">
        <f t="shared" si="27"/>
        <v>125-03-32.0200W</v>
      </c>
      <c r="F380">
        <f t="shared" si="28"/>
        <v>35.740938888888891</v>
      </c>
      <c r="G380">
        <f t="shared" si="29"/>
        <v>-125.05889444444445</v>
      </c>
      <c r="H380" s="3" t="str">
        <f t="shared" si="30"/>
        <v>[566] = {["comment"] = "35-44-27.3800N 125-03-32.0200W", ["callsignStr"] = "MAFIC", ["latitude"] = 35.7409388888889, ["longitude"] = -125.058894444444 },</v>
      </c>
    </row>
    <row r="381" spans="1:8" ht="29.4" hidden="1" thickBot="1" x14ac:dyDescent="0.35">
      <c r="A381" s="4" t="s">
        <v>1152</v>
      </c>
      <c r="B381" s="4" t="s">
        <v>394</v>
      </c>
      <c r="C381" s="4" t="s">
        <v>1153</v>
      </c>
      <c r="D381" t="str">
        <f t="shared" si="26"/>
        <v>20-57-35.9900N</v>
      </c>
      <c r="E381" t="str">
        <f t="shared" si="27"/>
        <v>157-34-35.9600W</v>
      </c>
      <c r="F381">
        <f t="shared" si="28"/>
        <v>20.959997222222221</v>
      </c>
      <c r="G381">
        <f t="shared" si="29"/>
        <v>-157.57665555555556</v>
      </c>
      <c r="H381" s="3" t="str">
        <f t="shared" si="30"/>
        <v>[567] = {["comment"] = "20-57-35.9900N 157-34-35.9600W", ["callsignStr"] = "MAKAH", ["latitude"] = 20.9599972222222, ["longitude"] = -157.576655555556 },</v>
      </c>
    </row>
    <row r="382" spans="1:8" ht="29.4" hidden="1" thickBot="1" x14ac:dyDescent="0.35">
      <c r="A382" s="4" t="s">
        <v>1154</v>
      </c>
      <c r="B382" s="4" t="s">
        <v>394</v>
      </c>
      <c r="C382" s="4" t="s">
        <v>1155</v>
      </c>
      <c r="D382" t="str">
        <f t="shared" si="26"/>
        <v>32-28-32.1300N</v>
      </c>
      <c r="E382" t="str">
        <f t="shared" si="27"/>
        <v>119-35-28.2500W</v>
      </c>
      <c r="F382">
        <f t="shared" si="28"/>
        <v>32.475591666666666</v>
      </c>
      <c r="G382">
        <f t="shared" si="29"/>
        <v>-119.59118055555555</v>
      </c>
      <c r="H382" s="3" t="str">
        <f t="shared" si="30"/>
        <v>[568] = {["comment"] = "MZB*C*246.93/121.27 SXC*C*213.00/80.00 32-28-32.1300N 119-35-28.2500W", ["callsignStr"] = "MALIT", ["latitude"] = 32.4755916666667, ["longitude"] = -119.591180555556 },</v>
      </c>
    </row>
    <row r="383" spans="1:8" ht="29.4" hidden="1" thickBot="1" x14ac:dyDescent="0.35">
      <c r="A383" s="4" t="s">
        <v>1156</v>
      </c>
      <c r="B383" s="4" t="s">
        <v>394</v>
      </c>
      <c r="C383" s="4" t="s">
        <v>1157</v>
      </c>
      <c r="D383" t="str">
        <f t="shared" si="26"/>
        <v>31-56-51.0000N</v>
      </c>
      <c r="E383" t="str">
        <f t="shared" si="27"/>
        <v>127-22-45.0000W</v>
      </c>
      <c r="F383">
        <f t="shared" si="28"/>
        <v>31.947500000000002</v>
      </c>
      <c r="G383">
        <f t="shared" si="29"/>
        <v>-127.37916666666666</v>
      </c>
      <c r="H383" s="3" t="str">
        <f t="shared" si="30"/>
        <v>[569] = {["comment"] = "31-56-51.0000N 127-22-45.0000W", ["callsignStr"] = "MANEY", ["latitude"] = 31.9475, ["longitude"] = -127.379166666667 },</v>
      </c>
    </row>
    <row r="384" spans="1:8" ht="29.4" hidden="1" thickBot="1" x14ac:dyDescent="0.35">
      <c r="A384" s="4" t="s">
        <v>1158</v>
      </c>
      <c r="B384" s="4" t="s">
        <v>394</v>
      </c>
      <c r="C384" s="4" t="s">
        <v>1159</v>
      </c>
      <c r="D384" t="str">
        <f t="shared" si="26"/>
        <v>52-00-00.0000N</v>
      </c>
      <c r="E384" t="str">
        <f t="shared" si="27"/>
        <v>135-27-26.0000W</v>
      </c>
      <c r="F384">
        <f t="shared" si="28"/>
        <v>52</v>
      </c>
      <c r="G384">
        <f t="shared" si="29"/>
        <v>-135.45722222222221</v>
      </c>
      <c r="H384" s="3" t="str">
        <f t="shared" si="30"/>
        <v>[570] = {["comment"] = "52-00-00.0000N 135-27-26.0000W", ["callsignStr"] = "MANJO", ["latitude"] = 52, ["longitude"] = -135.457222222222 },</v>
      </c>
    </row>
    <row r="385" spans="1:8" ht="29.4" hidden="1" thickBot="1" x14ac:dyDescent="0.35">
      <c r="A385" s="4" t="s">
        <v>1160</v>
      </c>
      <c r="B385" s="4" t="s">
        <v>394</v>
      </c>
      <c r="C385" s="4" t="s">
        <v>1161</v>
      </c>
      <c r="D385" t="str">
        <f t="shared" si="26"/>
        <v>15-55-50.0000N</v>
      </c>
      <c r="E385" t="str">
        <f t="shared" si="27"/>
        <v>171-33-23.0000W</v>
      </c>
      <c r="F385">
        <f t="shared" si="28"/>
        <v>15.930555555555555</v>
      </c>
      <c r="G385">
        <f t="shared" si="29"/>
        <v>-171.5563888888889</v>
      </c>
      <c r="H385" s="3" t="str">
        <f t="shared" si="30"/>
        <v>[571] = {["comment"] = "15-55-50.0000N 171-33-23.0000W", ["callsignStr"] = "MANRE", ["latitude"] = 15.9305555555556, ["longitude"] = -171.556388888889 },</v>
      </c>
    </row>
    <row r="386" spans="1:8" ht="29.4" hidden="1" thickBot="1" x14ac:dyDescent="0.35">
      <c r="A386" s="4" t="s">
        <v>1162</v>
      </c>
      <c r="B386" s="4" t="s">
        <v>394</v>
      </c>
      <c r="C386" s="4" t="s">
        <v>1163</v>
      </c>
      <c r="D386" t="str">
        <f t="shared" si="26"/>
        <v>35-10-52.6000N</v>
      </c>
      <c r="E386" t="str">
        <f t="shared" si="27"/>
        <v>120-54-52.5000W</v>
      </c>
      <c r="F386">
        <f t="shared" si="28"/>
        <v>35.181277777777773</v>
      </c>
      <c r="G386">
        <f t="shared" si="29"/>
        <v>-120.91458333333334</v>
      </c>
      <c r="H386" s="3" t="str">
        <f t="shared" si="30"/>
        <v>[572] = {["comment"] = "35-10-52.6000N 120-54-52.5000W", ["callsignStr"] = "MANZZ", ["latitude"] = 35.1812777777778, ["longitude"] = -120.914583333333 },</v>
      </c>
    </row>
    <row r="387" spans="1:8" ht="29.4" hidden="1" thickBot="1" x14ac:dyDescent="0.35">
      <c r="A387" s="4" t="s">
        <v>1164</v>
      </c>
      <c r="B387" s="4" t="s">
        <v>394</v>
      </c>
      <c r="C387" s="4" t="s">
        <v>1165</v>
      </c>
      <c r="D387" t="str">
        <f t="shared" ref="D387:D450" si="31">findLatitude(C387)</f>
        <v>03-30-00.0000N</v>
      </c>
      <c r="E387" t="str">
        <f t="shared" ref="E387:E450" si="32">findLongitude(C387)</f>
        <v>169-16-30.0000E</v>
      </c>
      <c r="F387">
        <f t="shared" ref="F387:F450" si="33">VALUE(MID(D387,1,2))+VALUE(MID(D387,4,2))/60+VALUE(MID(D387,7,7))/(1*3600)</f>
        <v>3.5</v>
      </c>
      <c r="G387">
        <f t="shared" ref="G387:G450" si="34">(VALUE(MID(E387,1,3))+VALUE(MID(E387,5,2))/60+VALUE(MID(E387,8,7))/(1*3600))*IF(MID(E387,15,1)="E",1,-1)</f>
        <v>169.27500000000001</v>
      </c>
      <c r="H387" s="3" t="str">
        <f t="shared" ref="H387:H450" si="35">CONCATENATE("[",ROW()+$H$1-1,"] = {","[""comment""] = """,C387,""", ","[""callsignStr""] = """,A387,""", ","[""latitude""] = ",F387,", ","[""longitude""] = ",G387," },")</f>
        <v>[573] = {["comment"] = "03-30-00.0000N 169-16-30.0000E", ["callsignStr"] = "MARTI", ["latitude"] = 3.5, ["longitude"] = 169.275 },</v>
      </c>
    </row>
    <row r="388" spans="1:8" ht="29.4" hidden="1" thickBot="1" x14ac:dyDescent="0.35">
      <c r="A388" s="4" t="s">
        <v>1166</v>
      </c>
      <c r="B388" s="4" t="s">
        <v>394</v>
      </c>
      <c r="C388" s="4" t="s">
        <v>1167</v>
      </c>
      <c r="D388" t="str">
        <f t="shared" si="31"/>
        <v>11-42-32.0000N</v>
      </c>
      <c r="E388" t="str">
        <f t="shared" si="32"/>
        <v>180-00-00.0000W</v>
      </c>
      <c r="F388">
        <f t="shared" si="33"/>
        <v>11.708888888888888</v>
      </c>
      <c r="G388">
        <f t="shared" si="34"/>
        <v>-180</v>
      </c>
      <c r="H388" s="3" t="str">
        <f t="shared" si="35"/>
        <v>[574] = {["comment"] = "11-42-32.0000N 180-00-00.0000W", ["callsignStr"] = "MAZZA", ["latitude"] = 11.7088888888889, ["longitude"] = -180 },</v>
      </c>
    </row>
    <row r="389" spans="1:8" ht="29.4" hidden="1" thickBot="1" x14ac:dyDescent="0.35">
      <c r="A389" s="4" t="s">
        <v>1168</v>
      </c>
      <c r="B389" s="4" t="s">
        <v>394</v>
      </c>
      <c r="C389" s="4" t="s">
        <v>1169</v>
      </c>
      <c r="D389" t="str">
        <f t="shared" si="31"/>
        <v>19-39-29.0000N</v>
      </c>
      <c r="E389" t="str">
        <f t="shared" si="32"/>
        <v>162-41-58.0000W</v>
      </c>
      <c r="F389">
        <f t="shared" si="33"/>
        <v>19.658055555555553</v>
      </c>
      <c r="G389">
        <f t="shared" si="34"/>
        <v>-162.69944444444445</v>
      </c>
      <c r="H389" s="3" t="str">
        <f t="shared" si="35"/>
        <v>[575] = {["comment"] = "19-39-29.0000N 162-41-58.0000W", ["callsignStr"] = "MCFLY", ["latitude"] = 19.6580555555556, ["longitude"] = -162.699444444444 },</v>
      </c>
    </row>
    <row r="390" spans="1:8" ht="29.4" thickBot="1" x14ac:dyDescent="0.35">
      <c r="A390" s="4" t="s">
        <v>1170</v>
      </c>
      <c r="B390" s="4" t="s">
        <v>394</v>
      </c>
      <c r="C390" s="4" t="s">
        <v>1171</v>
      </c>
      <c r="D390" t="str">
        <f t="shared" si="31"/>
        <v>15-46-00.0000N</v>
      </c>
      <c r="E390" t="str">
        <f t="shared" si="32"/>
        <v>141-17-00.0000E</v>
      </c>
      <c r="F390">
        <f t="shared" si="33"/>
        <v>15.766666666666667</v>
      </c>
      <c r="G390">
        <f t="shared" si="34"/>
        <v>141.28333333333333</v>
      </c>
      <c r="H390" s="3" t="str">
        <f t="shared" si="35"/>
        <v>[576] = {["comment"] = "15-46-00.0000N 141-17-00.0000E", ["callsignStr"] = "MIKYY", ["latitude"] = 15.7666666666667, ["longitude"] = 141.283333333333 },</v>
      </c>
    </row>
    <row r="391" spans="1:8" ht="29.4" hidden="1" thickBot="1" x14ac:dyDescent="0.35">
      <c r="A391" s="4" t="s">
        <v>1172</v>
      </c>
      <c r="B391" s="4" t="s">
        <v>394</v>
      </c>
      <c r="C391" s="4" t="s">
        <v>1173</v>
      </c>
      <c r="D391" t="str">
        <f t="shared" si="31"/>
        <v>20-46-08.0000N</v>
      </c>
      <c r="E391" t="str">
        <f t="shared" si="32"/>
        <v>157-22-48.0000W</v>
      </c>
      <c r="F391">
        <f t="shared" si="33"/>
        <v>20.768888888888888</v>
      </c>
      <c r="G391">
        <f t="shared" si="34"/>
        <v>-157.38</v>
      </c>
      <c r="H391" s="3" t="str">
        <f t="shared" si="35"/>
        <v>[577] = {["comment"] = "20-46-08.0000N 157-22-48.0000W", ["callsignStr"] = "MIRAA", ["latitude"] = 20.7688888888889, ["longitude"] = -157.38 },</v>
      </c>
    </row>
    <row r="392" spans="1:8" ht="29.4" hidden="1" thickBot="1" x14ac:dyDescent="0.35">
      <c r="A392" s="4" t="s">
        <v>1174</v>
      </c>
      <c r="B392" s="4" t="s">
        <v>394</v>
      </c>
      <c r="C392" s="4" t="s">
        <v>1175</v>
      </c>
      <c r="D392" t="str">
        <f t="shared" si="31"/>
        <v>41-47-25.0000N</v>
      </c>
      <c r="E392" t="str">
        <f t="shared" si="32"/>
        <v>126-49-53.0000W</v>
      </c>
      <c r="F392">
        <f t="shared" si="33"/>
        <v>41.790277777777774</v>
      </c>
      <c r="G392">
        <f t="shared" si="34"/>
        <v>-126.83138888888888</v>
      </c>
      <c r="H392" s="3" t="str">
        <f t="shared" si="35"/>
        <v>[578] = {["comment"] = "41-47-25.0000N 126-49-53.0000W", ["callsignStr"] = "MITOH", ["latitude"] = 41.7902777777778, ["longitude"] = -126.831388888889 },</v>
      </c>
    </row>
    <row r="393" spans="1:8" ht="29.4" hidden="1" thickBot="1" x14ac:dyDescent="0.35">
      <c r="A393" s="4" t="s">
        <v>1176</v>
      </c>
      <c r="B393" s="4" t="s">
        <v>394</v>
      </c>
      <c r="C393" s="4" t="s">
        <v>1177</v>
      </c>
      <c r="D393" t="str">
        <f t="shared" si="31"/>
        <v>58-31-04.7800N</v>
      </c>
      <c r="E393" t="str">
        <f t="shared" si="32"/>
        <v>151-18-28.7600W</v>
      </c>
      <c r="F393">
        <f t="shared" si="33"/>
        <v>58.51799444444444</v>
      </c>
      <c r="G393">
        <f t="shared" si="34"/>
        <v>-151.3079888888889</v>
      </c>
      <c r="H393" s="3" t="str">
        <f t="shared" si="35"/>
        <v>[579] = {["comment"] = "58-31-04.7800N 151-18-28.7600W", ["callsignStr"] = "MKLUK", ["latitude"] = 58.5179944444444, ["longitude"] = -151.307988888889 },</v>
      </c>
    </row>
    <row r="394" spans="1:8" ht="29.4" thickBot="1" x14ac:dyDescent="0.35">
      <c r="A394" s="4" t="s">
        <v>1178</v>
      </c>
      <c r="B394" s="4" t="s">
        <v>394</v>
      </c>
      <c r="C394" s="4" t="s">
        <v>1179</v>
      </c>
      <c r="D394" t="str">
        <f t="shared" si="31"/>
        <v>14-02-24.0000N</v>
      </c>
      <c r="E394" t="str">
        <f t="shared" si="32"/>
        <v>143-07-30.0000E</v>
      </c>
      <c r="F394">
        <f t="shared" si="33"/>
        <v>14.04</v>
      </c>
      <c r="G394">
        <f t="shared" si="34"/>
        <v>143.125</v>
      </c>
      <c r="H394" s="3" t="str">
        <f t="shared" si="35"/>
        <v>[580] = {["comment"] = "14-02-24.0000N 143-07-30.0000E", ["callsignStr"] = "MOGLE", ["latitude"] = 14.04, ["longitude"] = 143.125 },</v>
      </c>
    </row>
    <row r="395" spans="1:8" ht="15" thickBot="1" x14ac:dyDescent="0.35">
      <c r="A395" s="4" t="s">
        <v>1180</v>
      </c>
      <c r="B395" s="4" t="s">
        <v>394</v>
      </c>
      <c r="C395" s="4" t="s">
        <v>1181</v>
      </c>
      <c r="D395" t="str">
        <f t="shared" si="31"/>
        <v>21-00-00.0000N</v>
      </c>
      <c r="E395" t="str">
        <f t="shared" si="32"/>
        <v>140-36-00.0000E</v>
      </c>
      <c r="F395">
        <f t="shared" si="33"/>
        <v>21</v>
      </c>
      <c r="G395">
        <f t="shared" si="34"/>
        <v>140.6</v>
      </c>
      <c r="H395" s="3" t="str">
        <f t="shared" si="35"/>
        <v>[581] = {["comment"] = "21-00-00.0000N 140-36-00.0000E", ["callsignStr"] = "MONPI", ["latitude"] = 21, ["longitude"] = 140.6 },</v>
      </c>
    </row>
    <row r="396" spans="1:8" ht="29.4" hidden="1" thickBot="1" x14ac:dyDescent="0.35">
      <c r="A396" s="4" t="s">
        <v>1182</v>
      </c>
      <c r="B396" s="4" t="s">
        <v>394</v>
      </c>
      <c r="C396" s="4" t="s">
        <v>1183</v>
      </c>
      <c r="D396" t="str">
        <f t="shared" si="31"/>
        <v>59-05-00.0000N</v>
      </c>
      <c r="E396" t="str">
        <f t="shared" si="32"/>
        <v>150-25-00.0000W</v>
      </c>
      <c r="F396">
        <f t="shared" si="33"/>
        <v>59.083333333333336</v>
      </c>
      <c r="G396">
        <f t="shared" si="34"/>
        <v>-150.41666666666666</v>
      </c>
      <c r="H396" s="3" t="str">
        <f t="shared" si="35"/>
        <v>[582] = {["comment"] = "59-05-00.0000N 150-25-00.0000W", ["callsignStr"] = "MRRON", ["latitude"] = 59.0833333333333, ["longitude"] = -150.416666666667 },</v>
      </c>
    </row>
    <row r="397" spans="1:8" ht="29.4" hidden="1" thickBot="1" x14ac:dyDescent="0.35">
      <c r="A397" s="4" t="s">
        <v>1184</v>
      </c>
      <c r="B397" s="4" t="s">
        <v>394</v>
      </c>
      <c r="C397" s="4" t="s">
        <v>1185</v>
      </c>
      <c r="D397" t="str">
        <f t="shared" si="31"/>
        <v>22-48-57.7200N</v>
      </c>
      <c r="E397" t="str">
        <f t="shared" si="32"/>
        <v>156-44-48.0600W</v>
      </c>
      <c r="F397">
        <f t="shared" si="33"/>
        <v>22.816033333333333</v>
      </c>
      <c r="G397">
        <f t="shared" si="34"/>
        <v>-156.74668333333332</v>
      </c>
      <c r="H397" s="3" t="str">
        <f t="shared" si="35"/>
        <v>[583] = {["comment"] = "22-48-57.7200N 156-44-48.0600W", ["callsignStr"] = "MSONA", ["latitude"] = 22.8160333333333, ["longitude"] = -156.746683333333 },</v>
      </c>
    </row>
    <row r="398" spans="1:8" ht="29.4" hidden="1" thickBot="1" x14ac:dyDescent="0.35">
      <c r="A398" s="4" t="s">
        <v>1186</v>
      </c>
      <c r="B398" s="4" t="s">
        <v>394</v>
      </c>
      <c r="C398" s="4" t="s">
        <v>1187</v>
      </c>
      <c r="D398" t="str">
        <f t="shared" si="31"/>
        <v>03-30-00.0000N</v>
      </c>
      <c r="E398" t="str">
        <f t="shared" si="32"/>
        <v>164-40-06.0000E</v>
      </c>
      <c r="F398">
        <f t="shared" si="33"/>
        <v>3.5</v>
      </c>
      <c r="G398">
        <f t="shared" si="34"/>
        <v>164.66833333333332</v>
      </c>
      <c r="H398" s="3" t="str">
        <f t="shared" si="35"/>
        <v>[584] = {["comment"] = "03-30-00.0000N 164-40-06.0000E", ["callsignStr"] = "MUBIT", ["latitude"] = 3.5, ["longitude"] = 164.668333333333 },</v>
      </c>
    </row>
    <row r="399" spans="1:8" ht="29.4" hidden="1" thickBot="1" x14ac:dyDescent="0.35">
      <c r="A399" s="4" t="s">
        <v>1188</v>
      </c>
      <c r="B399" s="4" t="s">
        <v>394</v>
      </c>
      <c r="C399" s="4" t="s">
        <v>1189</v>
      </c>
      <c r="D399" t="str">
        <f t="shared" si="31"/>
        <v>08-59-28.0000N</v>
      </c>
      <c r="E399" t="str">
        <f t="shared" si="32"/>
        <v>176-53-05.0000W</v>
      </c>
      <c r="F399">
        <f t="shared" si="33"/>
        <v>8.9911111111111097</v>
      </c>
      <c r="G399">
        <f t="shared" si="34"/>
        <v>-176.88472222222222</v>
      </c>
      <c r="H399" s="3" t="str">
        <f t="shared" si="35"/>
        <v>[585] = {["comment"] = "08-59-28.0000N 176-53-05.0000W", ["callsignStr"] = "NAMIE", ["latitude"] = 8.99111111111111, ["longitude"] = -176.884722222222 },</v>
      </c>
    </row>
    <row r="400" spans="1:8" ht="15" hidden="1" thickBot="1" x14ac:dyDescent="0.35">
      <c r="A400" s="4" t="s">
        <v>1190</v>
      </c>
      <c r="B400" s="4" t="s">
        <v>394</v>
      </c>
      <c r="C400" s="4" t="s">
        <v>1191</v>
      </c>
      <c r="D400" t="str">
        <f t="shared" si="31"/>
        <v>81-00-00.0000N</v>
      </c>
      <c r="E400" t="str">
        <f t="shared" si="32"/>
        <v>141-00-00.0000W</v>
      </c>
      <c r="F400">
        <f t="shared" si="33"/>
        <v>81</v>
      </c>
      <c r="G400">
        <f t="shared" si="34"/>
        <v>-141</v>
      </c>
      <c r="H400" s="3" t="str">
        <f t="shared" si="35"/>
        <v>[586] = {["comment"] = "81-00-00.0000N 141-00-00.0000W", ["callsignStr"] = "NAMWE", ["latitude"] = 81, ["longitude"] = -141 },</v>
      </c>
    </row>
    <row r="401" spans="1:8" ht="29.4" hidden="1" thickBot="1" x14ac:dyDescent="0.35">
      <c r="A401" s="4" t="s">
        <v>1192</v>
      </c>
      <c r="B401" s="4" t="s">
        <v>394</v>
      </c>
      <c r="C401" s="4" t="s">
        <v>1193</v>
      </c>
      <c r="D401" t="str">
        <f t="shared" si="31"/>
        <v>33-31-39.0000N</v>
      </c>
      <c r="E401" t="str">
        <f t="shared" si="32"/>
        <v>118-04-18.0000W</v>
      </c>
      <c r="F401">
        <f t="shared" si="33"/>
        <v>33.527499999999996</v>
      </c>
      <c r="G401">
        <f t="shared" si="34"/>
        <v>-118.07166666666666</v>
      </c>
      <c r="H401" s="3" t="str">
        <f t="shared" si="35"/>
        <v>[587] = {["comment"] = "33-31-39.0000N 118-04-18.0000W", ["callsignStr"] = "NAPHA", ["latitude"] = 33.5275, ["longitude"] = -118.071666666667 },</v>
      </c>
    </row>
    <row r="402" spans="1:8" ht="29.4" hidden="1" thickBot="1" x14ac:dyDescent="0.35">
      <c r="A402" s="4" t="s">
        <v>1194</v>
      </c>
      <c r="B402" s="4" t="s">
        <v>394</v>
      </c>
      <c r="C402" s="4" t="s">
        <v>1195</v>
      </c>
      <c r="D402" t="str">
        <f t="shared" si="31"/>
        <v>54-56-00.7700N</v>
      </c>
      <c r="E402" t="str">
        <f t="shared" si="32"/>
        <v>171-58-28.8900E</v>
      </c>
      <c r="F402">
        <f t="shared" si="33"/>
        <v>54.933547222222217</v>
      </c>
      <c r="G402">
        <f t="shared" si="34"/>
        <v>171.97469166666667</v>
      </c>
      <c r="H402" s="3" t="str">
        <f t="shared" si="35"/>
        <v>[588] = {["comment"] = "54-56-00.7700N 171-58-28.8900E", ["callsignStr"] = "NATES", ["latitude"] = 54.9335472222222, ["longitude"] = 171.974691666667 },</v>
      </c>
    </row>
    <row r="403" spans="1:8" ht="29.4" hidden="1" thickBot="1" x14ac:dyDescent="0.35">
      <c r="A403" s="4" t="s">
        <v>1196</v>
      </c>
      <c r="B403" s="4" t="s">
        <v>394</v>
      </c>
      <c r="C403" s="4" t="s">
        <v>1197</v>
      </c>
      <c r="D403" t="str">
        <f t="shared" si="31"/>
        <v>19-52-29.0000N</v>
      </c>
      <c r="E403" t="str">
        <f t="shared" si="32"/>
        <v>173-18-50.0000E</v>
      </c>
      <c r="F403">
        <f t="shared" si="33"/>
        <v>19.874722222222221</v>
      </c>
      <c r="G403">
        <f t="shared" si="34"/>
        <v>173.3138888888889</v>
      </c>
      <c r="H403" s="3" t="str">
        <f t="shared" si="35"/>
        <v>[589] = {["comment"] = "19-52-29.0000N 173-18-50.0000E", ["callsignStr"] = "NATIE", ["latitude"] = 19.8747222222222, ["longitude"] = 173.313888888889 },</v>
      </c>
    </row>
    <row r="404" spans="1:8" ht="29.4" thickBot="1" x14ac:dyDescent="0.35">
      <c r="A404" s="4" t="s">
        <v>1198</v>
      </c>
      <c r="B404" s="4" t="s">
        <v>394</v>
      </c>
      <c r="C404" s="4" t="s">
        <v>1199</v>
      </c>
      <c r="D404" t="str">
        <f t="shared" si="31"/>
        <v>16-35-00.0000N</v>
      </c>
      <c r="E404" t="str">
        <f t="shared" si="32"/>
        <v>141-57-00.0000E</v>
      </c>
      <c r="F404">
        <f t="shared" si="33"/>
        <v>16.583333333333332</v>
      </c>
      <c r="G404">
        <f t="shared" si="34"/>
        <v>141.94999999999999</v>
      </c>
      <c r="H404" s="3" t="str">
        <f t="shared" si="35"/>
        <v>[590] = {["comment"] = "16-35-00.0000N 141-57-00.0000E", ["callsignStr"] = "NATSS", ["latitude"] = 16.5833333333333, ["longitude"] = 141.95 },</v>
      </c>
    </row>
    <row r="405" spans="1:8" ht="29.4" hidden="1" thickBot="1" x14ac:dyDescent="0.35">
      <c r="A405" s="4" t="s">
        <v>1200</v>
      </c>
      <c r="B405" s="4" t="s">
        <v>394</v>
      </c>
      <c r="C405" s="4" t="s">
        <v>1201</v>
      </c>
      <c r="D405" t="str">
        <f t="shared" si="31"/>
        <v>41-53-35.0000N</v>
      </c>
      <c r="E405" t="str">
        <f t="shared" si="32"/>
        <v>126-49-15.0000W</v>
      </c>
      <c r="F405">
        <f t="shared" si="33"/>
        <v>41.893055555555556</v>
      </c>
      <c r="G405">
        <f t="shared" si="34"/>
        <v>-126.82083333333333</v>
      </c>
      <c r="H405" s="3" t="str">
        <f t="shared" si="35"/>
        <v>[591] = {["comment"] = "41-53-35.0000N 126-49-15.0000W", ["callsignStr"] = "NATTE", ["latitude"] = 41.8930555555556, ["longitude"] = -126.820833333333 },</v>
      </c>
    </row>
    <row r="406" spans="1:8" ht="15" hidden="1" thickBot="1" x14ac:dyDescent="0.35">
      <c r="A406" s="4" t="s">
        <v>1202</v>
      </c>
      <c r="B406" s="4" t="s">
        <v>394</v>
      </c>
      <c r="C406" s="4" t="s">
        <v>1203</v>
      </c>
      <c r="D406" t="str">
        <f t="shared" si="31"/>
        <v>86-30-00.0000N</v>
      </c>
      <c r="E406" t="str">
        <f t="shared" si="32"/>
        <v>141-00-00.0000W</v>
      </c>
      <c r="F406">
        <f t="shared" si="33"/>
        <v>86.5</v>
      </c>
      <c r="G406">
        <f t="shared" si="34"/>
        <v>-141</v>
      </c>
      <c r="H406" s="3" t="str">
        <f t="shared" si="35"/>
        <v>[592] = {["comment"] = "86-30-00.0000N 141-00-00.0000W", ["callsignStr"] = "NEUTR", ["latitude"] = 86.5, ["longitude"] = -141 },</v>
      </c>
    </row>
    <row r="407" spans="1:8" ht="29.4" hidden="1" thickBot="1" x14ac:dyDescent="0.35">
      <c r="A407" s="4" t="s">
        <v>1204</v>
      </c>
      <c r="B407" s="4" t="s">
        <v>394</v>
      </c>
      <c r="C407" s="4" t="s">
        <v>1205</v>
      </c>
      <c r="D407" t="str">
        <f t="shared" si="31"/>
        <v>18-51-23.0000N</v>
      </c>
      <c r="E407" t="str">
        <f t="shared" si="32"/>
        <v>166-41-51.0000E</v>
      </c>
      <c r="F407">
        <f t="shared" si="33"/>
        <v>18.85638888888889</v>
      </c>
      <c r="G407">
        <f t="shared" si="34"/>
        <v>166.69749999999999</v>
      </c>
      <c r="H407" s="3" t="str">
        <f t="shared" si="35"/>
        <v>[593] = {["comment"] = "18-51-23.0000N 166-41-51.0000E", ["callsignStr"] = "NGUEN", ["latitude"] = 18.8563888888889, ["longitude"] = 166.6975 },</v>
      </c>
    </row>
    <row r="408" spans="1:8" ht="29.4" hidden="1" thickBot="1" x14ac:dyDescent="0.35">
      <c r="A408" s="4" t="s">
        <v>1206</v>
      </c>
      <c r="B408" s="4" t="s">
        <v>394</v>
      </c>
      <c r="C408" s="4" t="s">
        <v>1207</v>
      </c>
      <c r="D408" t="str">
        <f t="shared" si="31"/>
        <v>21-46-02.1200N</v>
      </c>
      <c r="E408" t="str">
        <f t="shared" si="32"/>
        <v>157-30-52.8900W</v>
      </c>
      <c r="F408">
        <f t="shared" si="33"/>
        <v>21.767255555555554</v>
      </c>
      <c r="G408">
        <f t="shared" si="34"/>
        <v>-157.51469166666666</v>
      </c>
      <c r="H408" s="3" t="str">
        <f t="shared" si="35"/>
        <v>[594] = {["comment"] = "MKK*C*321.74/42.34 NGF*T*026.00/23.00 21-46-02.1200N 157-30-52.8900W", ["callsignStr"] = "NIKKI", ["latitude"] = 21.7672555555556, ["longitude"] = -157.514691666667 },</v>
      </c>
    </row>
    <row r="409" spans="1:8" ht="29.4" hidden="1" thickBot="1" x14ac:dyDescent="0.35">
      <c r="A409" s="4" t="s">
        <v>1208</v>
      </c>
      <c r="B409" s="4" t="s">
        <v>394</v>
      </c>
      <c r="C409" s="4" t="s">
        <v>1209</v>
      </c>
      <c r="D409" t="str">
        <f t="shared" si="31"/>
        <v>49-42-38.4000N</v>
      </c>
      <c r="E409" t="str">
        <f t="shared" si="32"/>
        <v>159-20-48.3000E</v>
      </c>
      <c r="F409">
        <f t="shared" si="33"/>
        <v>49.710666666666668</v>
      </c>
      <c r="G409">
        <f t="shared" si="34"/>
        <v>159.34675000000001</v>
      </c>
      <c r="H409" s="3" t="str">
        <f t="shared" si="35"/>
        <v>[595] = {["comment"] = "49-42-38.4000N 159-20-48.3000E", ["callsignStr"] = "NIPPI", ["latitude"] = 49.7106666666667, ["longitude"] = 159.34675 },</v>
      </c>
    </row>
    <row r="410" spans="1:8" ht="29.4" hidden="1" thickBot="1" x14ac:dyDescent="0.35">
      <c r="A410" s="4" t="s">
        <v>1210</v>
      </c>
      <c r="B410" s="4" t="s">
        <v>394</v>
      </c>
      <c r="C410" s="4" t="s">
        <v>1211</v>
      </c>
      <c r="D410" t="str">
        <f t="shared" si="31"/>
        <v>03-30-00.0000N</v>
      </c>
      <c r="E410" t="str">
        <f t="shared" si="32"/>
        <v>176-11-36.0000E</v>
      </c>
      <c r="F410">
        <f t="shared" si="33"/>
        <v>3.5</v>
      </c>
      <c r="G410">
        <f t="shared" si="34"/>
        <v>176.19333333333333</v>
      </c>
      <c r="H410" s="3" t="str">
        <f t="shared" si="35"/>
        <v>[596] = {["comment"] = "03-30-00.0000N 176-11-36.0000E", ["callsignStr"] = "NIXAM", ["latitude"] = 3.5, ["longitude"] = 176.193333333333 },</v>
      </c>
    </row>
    <row r="411" spans="1:8" ht="29.4" hidden="1" thickBot="1" x14ac:dyDescent="0.35">
      <c r="A411" s="4" t="s">
        <v>1212</v>
      </c>
      <c r="B411" s="4" t="s">
        <v>394</v>
      </c>
      <c r="C411" s="4" t="s">
        <v>1213</v>
      </c>
      <c r="D411" t="str">
        <f t="shared" si="31"/>
        <v>19-24-54.0000N</v>
      </c>
      <c r="E411" t="str">
        <f t="shared" si="32"/>
        <v>162-23-01.0000W</v>
      </c>
      <c r="F411">
        <f t="shared" si="33"/>
        <v>19.414999999999999</v>
      </c>
      <c r="G411">
        <f t="shared" si="34"/>
        <v>-162.38361111111109</v>
      </c>
      <c r="H411" s="3" t="str">
        <f t="shared" si="35"/>
        <v>[597] = {["comment"] = "19-24-54.0000N 162-23-01.0000W", ["callsignStr"] = "NIXEE", ["latitude"] = 19.415, ["longitude"] = -162.383611111111 },</v>
      </c>
    </row>
    <row r="412" spans="1:8" ht="29.4" hidden="1" thickBot="1" x14ac:dyDescent="0.35">
      <c r="A412" s="4" t="s">
        <v>1214</v>
      </c>
      <c r="B412" s="4" t="s">
        <v>394</v>
      </c>
      <c r="C412" s="4" t="s">
        <v>1215</v>
      </c>
      <c r="D412" t="str">
        <f t="shared" si="31"/>
        <v>59-32-45.9400N</v>
      </c>
      <c r="E412" t="str">
        <f t="shared" si="32"/>
        <v>171-54-08.7300W</v>
      </c>
      <c r="F412">
        <f t="shared" si="33"/>
        <v>59.546094444444442</v>
      </c>
      <c r="G412">
        <f t="shared" si="34"/>
        <v>-171.90242499999999</v>
      </c>
      <c r="H412" s="3" t="str">
        <f t="shared" si="35"/>
        <v>[598] = {["comment"] = "59-32-45.9400N 171-54-08.7300W", ["callsignStr"] = "NOLTI", ["latitude"] = 59.5460944444444, ["longitude"] = -171.902425 },</v>
      </c>
    </row>
    <row r="413" spans="1:8" ht="29.4" hidden="1" thickBot="1" x14ac:dyDescent="0.35">
      <c r="A413" s="4" t="s">
        <v>1216</v>
      </c>
      <c r="B413" s="4" t="s">
        <v>394</v>
      </c>
      <c r="C413" s="4" t="s">
        <v>1217</v>
      </c>
      <c r="D413" t="str">
        <f t="shared" si="31"/>
        <v>19-14-19.4200N</v>
      </c>
      <c r="E413" t="str">
        <f t="shared" si="32"/>
        <v>166-51-27.2800E</v>
      </c>
      <c r="F413">
        <f t="shared" si="33"/>
        <v>19.238727777777779</v>
      </c>
      <c r="G413">
        <f t="shared" si="34"/>
        <v>166.85757777777778</v>
      </c>
      <c r="H413" s="3" t="str">
        <f t="shared" si="35"/>
        <v>[599] = {["comment"] = "19-14-19.4200N 166-51-27.2800E", ["callsignStr"] = "NONEY", ["latitude"] = 19.2387277777778, ["longitude"] = 166.857577777778 },</v>
      </c>
    </row>
    <row r="414" spans="1:8" ht="29.4" hidden="1" thickBot="1" x14ac:dyDescent="0.35">
      <c r="A414" s="4" t="s">
        <v>1218</v>
      </c>
      <c r="B414" s="4" t="s">
        <v>394</v>
      </c>
      <c r="C414" s="4" t="s">
        <v>1219</v>
      </c>
      <c r="D414" t="str">
        <f t="shared" si="31"/>
        <v>21-13-42.3000N</v>
      </c>
      <c r="E414" t="str">
        <f t="shared" si="32"/>
        <v>161-02-59.5800W</v>
      </c>
      <c r="F414">
        <f t="shared" si="33"/>
        <v>21.228416666666664</v>
      </c>
      <c r="G414">
        <f t="shared" si="34"/>
        <v>-161.04988333333333</v>
      </c>
      <c r="H414" s="3" t="str">
        <f t="shared" si="35"/>
        <v>[600] = {["comment"] = "SOK*C*234.00/94.08 HNL*C*258.00/174.88 21-13-42.3000N 161-02-59.5800W", ["callsignStr"] = "NONNI", ["latitude"] = 21.2284166666667, ["longitude"] = -161.049883333333 },</v>
      </c>
    </row>
    <row r="415" spans="1:8" ht="15" hidden="1" thickBot="1" x14ac:dyDescent="0.35">
      <c r="A415" s="4" t="s">
        <v>1220</v>
      </c>
      <c r="B415" s="4" t="s">
        <v>394</v>
      </c>
      <c r="C415" s="4" t="s">
        <v>1221</v>
      </c>
      <c r="D415" t="str">
        <f t="shared" si="31"/>
        <v>90-00-00.0000N</v>
      </c>
      <c r="E415" t="str">
        <f t="shared" si="32"/>
        <v>000-00-00.0000E</v>
      </c>
      <c r="F415">
        <f t="shared" si="33"/>
        <v>90</v>
      </c>
      <c r="G415">
        <f t="shared" si="34"/>
        <v>0</v>
      </c>
      <c r="H415" s="3" t="str">
        <f t="shared" si="35"/>
        <v>[601] = {["comment"] = "90-00-00.0000N 000-00-00.0000E", ["callsignStr"] = "NOPOL", ["latitude"] = 90, ["longitude"] = 0 },</v>
      </c>
    </row>
    <row r="416" spans="1:8" ht="29.4" hidden="1" thickBot="1" x14ac:dyDescent="0.35">
      <c r="A416" s="4" t="s">
        <v>1222</v>
      </c>
      <c r="B416" s="4" t="s">
        <v>394</v>
      </c>
      <c r="C416" s="4" t="s">
        <v>1223</v>
      </c>
      <c r="D416" t="str">
        <f t="shared" si="31"/>
        <v>17-48-18.0000N</v>
      </c>
      <c r="E416" t="str">
        <f t="shared" si="32"/>
        <v>156-04-05.0000W</v>
      </c>
      <c r="F416">
        <f t="shared" si="33"/>
        <v>17.805</v>
      </c>
      <c r="G416">
        <f t="shared" si="34"/>
        <v>-156.06805555555556</v>
      </c>
      <c r="H416" s="3" t="str">
        <f t="shared" si="35"/>
        <v>[602] = {["comment"] = "17-48-18.0000N 156-04-05.0000W", ["callsignStr"] = "NOYES", ["latitude"] = 17.805, ["longitude"] = -156.068055555556 },</v>
      </c>
    </row>
    <row r="417" spans="1:8" ht="29.4" hidden="1" thickBot="1" x14ac:dyDescent="0.35">
      <c r="A417" s="4" t="s">
        <v>1224</v>
      </c>
      <c r="B417" s="4" t="s">
        <v>394</v>
      </c>
      <c r="C417" s="4" t="s">
        <v>1225</v>
      </c>
      <c r="D417" t="str">
        <f t="shared" si="31"/>
        <v>50-12-25.0000N</v>
      </c>
      <c r="E417" t="str">
        <f t="shared" si="32"/>
        <v>160-22-39.0000E</v>
      </c>
      <c r="F417">
        <f t="shared" si="33"/>
        <v>50.206944444444446</v>
      </c>
      <c r="G417">
        <f t="shared" si="34"/>
        <v>160.3775</v>
      </c>
      <c r="H417" s="3" t="str">
        <f t="shared" si="35"/>
        <v>[603] = {["comment"] = "50-12-25.0000N 160-22-39.0000E", ["callsignStr"] = "NRKEY", ["latitude"] = 50.2069444444444, ["longitude"] = 160.3775 },</v>
      </c>
    </row>
    <row r="418" spans="1:8" ht="29.4" hidden="1" thickBot="1" x14ac:dyDescent="0.35">
      <c r="A418" s="4" t="s">
        <v>1226</v>
      </c>
      <c r="B418" s="4" t="s">
        <v>394</v>
      </c>
      <c r="C418" s="4" t="s">
        <v>1227</v>
      </c>
      <c r="D418" t="str">
        <f t="shared" si="31"/>
        <v>51-00-00.0000N</v>
      </c>
      <c r="E418" t="str">
        <f t="shared" si="32"/>
        <v>134-24-02.0000W</v>
      </c>
      <c r="F418">
        <f t="shared" si="33"/>
        <v>51</v>
      </c>
      <c r="G418">
        <f t="shared" si="34"/>
        <v>-134.40055555555557</v>
      </c>
      <c r="H418" s="3" t="str">
        <f t="shared" si="35"/>
        <v>[604] = {["comment"] = "51-00-00.0000N 134-24-02.0000W", ["callsignStr"] = "NUDGE", ["latitude"] = 51, ["longitude"] = -134.400555555556 },</v>
      </c>
    </row>
    <row r="419" spans="1:8" ht="29.4" hidden="1" thickBot="1" x14ac:dyDescent="0.35">
      <c r="A419" s="4" t="s">
        <v>1228</v>
      </c>
      <c r="B419" s="4" t="s">
        <v>394</v>
      </c>
      <c r="C419" s="4" t="s">
        <v>1229</v>
      </c>
      <c r="D419" t="str">
        <f t="shared" si="31"/>
        <v>05-00-00.0000N</v>
      </c>
      <c r="E419" t="str">
        <f t="shared" si="32"/>
        <v>145-42-24.0000E</v>
      </c>
      <c r="F419">
        <f t="shared" si="33"/>
        <v>5</v>
      </c>
      <c r="G419">
        <f t="shared" si="34"/>
        <v>145.70666666666665</v>
      </c>
      <c r="H419" s="3" t="str">
        <f t="shared" si="35"/>
        <v>[605] = {["comment"] = "05-00-00.0000N 145-42-24.0000E", ["callsignStr"] = "NUTTI", ["latitude"] = 5, ["longitude"] = 145.706666666667 },</v>
      </c>
    </row>
    <row r="420" spans="1:8" ht="29.4" hidden="1" thickBot="1" x14ac:dyDescent="0.35">
      <c r="A420" s="4" t="s">
        <v>1230</v>
      </c>
      <c r="B420" s="4" t="s">
        <v>394</v>
      </c>
      <c r="C420" s="4" t="s">
        <v>1231</v>
      </c>
      <c r="D420" t="str">
        <f t="shared" si="31"/>
        <v>14-18-56.0000N</v>
      </c>
      <c r="E420" t="str">
        <f t="shared" si="32"/>
        <v>169-47-55.0000W</v>
      </c>
      <c r="F420">
        <f t="shared" si="33"/>
        <v>14.315555555555557</v>
      </c>
      <c r="G420">
        <f t="shared" si="34"/>
        <v>-169.79861111111111</v>
      </c>
      <c r="H420" s="3" t="str">
        <f t="shared" si="35"/>
        <v>[606] = {["comment"] = "14-18-56.0000N 169-47-55.0000W", ["callsignStr"] = "NUTTO", ["latitude"] = 14.3155555555556, ["longitude"] = -169.798611111111 },</v>
      </c>
    </row>
    <row r="421" spans="1:8" ht="29.4" hidden="1" thickBot="1" x14ac:dyDescent="0.35">
      <c r="A421" s="4" t="s">
        <v>1232</v>
      </c>
      <c r="B421" s="4" t="s">
        <v>394</v>
      </c>
      <c r="C421" s="4" t="s">
        <v>1233</v>
      </c>
      <c r="D421" t="str">
        <f t="shared" si="31"/>
        <v>51-39-27.5000N</v>
      </c>
      <c r="E421" t="str">
        <f t="shared" si="32"/>
        <v>163-38-41.8000E</v>
      </c>
      <c r="F421">
        <f t="shared" si="33"/>
        <v>51.65763888888889</v>
      </c>
      <c r="G421">
        <f t="shared" si="34"/>
        <v>163.64494444444443</v>
      </c>
      <c r="H421" s="3" t="str">
        <f t="shared" si="35"/>
        <v>[607] = {["comment"] = "51-39-27.5000N 163-38-41.8000E", ["callsignStr"] = "NUZAN", ["latitude"] = 51.6576388888889, ["longitude"] = 163.644944444444 },</v>
      </c>
    </row>
    <row r="422" spans="1:8" ht="29.4" hidden="1" thickBot="1" x14ac:dyDescent="0.35">
      <c r="A422" s="4" t="s">
        <v>1234</v>
      </c>
      <c r="B422" s="4" t="s">
        <v>394</v>
      </c>
      <c r="C422" s="4" t="s">
        <v>1235</v>
      </c>
      <c r="D422" t="str">
        <f t="shared" si="31"/>
        <v>53-24-31.6000N</v>
      </c>
      <c r="E422" t="str">
        <f t="shared" si="32"/>
        <v>168-14-23.4000E</v>
      </c>
      <c r="F422">
        <f t="shared" si="33"/>
        <v>53.408777777777779</v>
      </c>
      <c r="G422">
        <f t="shared" si="34"/>
        <v>168.23983333333331</v>
      </c>
      <c r="H422" s="3" t="str">
        <f t="shared" si="35"/>
        <v>[608] = {["comment"] = "53-24-31.6000N 168-14-23.4000E", ["callsignStr"] = "NYMPH", ["latitude"] = 53.4087777777778, ["longitude"] = 168.239833333333 },</v>
      </c>
    </row>
    <row r="423" spans="1:8" ht="29.4" thickBot="1" x14ac:dyDescent="0.35">
      <c r="A423" s="4" t="s">
        <v>1236</v>
      </c>
      <c r="B423" s="4" t="s">
        <v>394</v>
      </c>
      <c r="C423" s="4" t="s">
        <v>1237</v>
      </c>
      <c r="D423" t="str">
        <f t="shared" si="31"/>
        <v>16-45-00.0000N</v>
      </c>
      <c r="E423" t="str">
        <f t="shared" si="32"/>
        <v>142-10-00.0000E</v>
      </c>
      <c r="F423">
        <f t="shared" si="33"/>
        <v>16.75</v>
      </c>
      <c r="G423">
        <f t="shared" si="34"/>
        <v>142.16666666666666</v>
      </c>
      <c r="H423" s="3" t="str">
        <f t="shared" si="35"/>
        <v>[609] = {["comment"] = "16-45-00.0000N 142-10-00.0000E", ["callsignStr"] = "OATSS", ["latitude"] = 16.75, ["longitude"] = 142.166666666667 },</v>
      </c>
    </row>
    <row r="424" spans="1:8" ht="29.4" hidden="1" thickBot="1" x14ac:dyDescent="0.35">
      <c r="A424" s="4" t="s">
        <v>1238</v>
      </c>
      <c r="B424" s="4" t="s">
        <v>394</v>
      </c>
      <c r="C424" s="4" t="s">
        <v>1239</v>
      </c>
      <c r="D424" t="str">
        <f t="shared" si="31"/>
        <v>56-03-56.7500N</v>
      </c>
      <c r="E424" t="str">
        <f t="shared" si="32"/>
        <v>177-58-42.5000E</v>
      </c>
      <c r="F424">
        <f t="shared" si="33"/>
        <v>56.065763888888888</v>
      </c>
      <c r="G424">
        <f t="shared" si="34"/>
        <v>177.97847222222222</v>
      </c>
      <c r="H424" s="3" t="str">
        <f t="shared" si="35"/>
        <v>[610] = {["comment"] = "56-03-56.7500N 177-58-42.5000E", ["callsignStr"] = "OBOYD", ["latitude"] = 56.0657638888889, ["longitude"] = 177.978472222222 },</v>
      </c>
    </row>
    <row r="425" spans="1:8" ht="29.4" hidden="1" thickBot="1" x14ac:dyDescent="0.35">
      <c r="A425" s="4" t="s">
        <v>1240</v>
      </c>
      <c r="B425" s="4" t="s">
        <v>394</v>
      </c>
      <c r="C425" s="4" t="s">
        <v>1241</v>
      </c>
      <c r="D425" t="str">
        <f t="shared" si="31"/>
        <v>06-04-00.0000N</v>
      </c>
      <c r="E425" t="str">
        <f t="shared" si="32"/>
        <v>150-31-00.0000E</v>
      </c>
      <c r="F425">
        <f t="shared" si="33"/>
        <v>6.0666666666666664</v>
      </c>
      <c r="G425">
        <f t="shared" si="34"/>
        <v>150.51666666666668</v>
      </c>
      <c r="H425" s="3" t="str">
        <f t="shared" si="35"/>
        <v>[611] = {["comment"] = "06-04-00.0000N 150-31-00.0000E", ["callsignStr"] = "OKOLE", ["latitude"] = 6.06666666666667, ["longitude"] = 150.516666666667 },</v>
      </c>
    </row>
    <row r="426" spans="1:8" ht="29.4" hidden="1" thickBot="1" x14ac:dyDescent="0.35">
      <c r="A426" s="4" t="s">
        <v>1242</v>
      </c>
      <c r="B426" s="4" t="s">
        <v>394</v>
      </c>
      <c r="C426" s="4" t="s">
        <v>1243</v>
      </c>
      <c r="D426" t="str">
        <f t="shared" si="31"/>
        <v>07-16-00.0000N</v>
      </c>
      <c r="E426" t="str">
        <f t="shared" si="32"/>
        <v>130-00-00.0000E</v>
      </c>
      <c r="F426">
        <f t="shared" si="33"/>
        <v>7.2666666666666666</v>
      </c>
      <c r="G426">
        <f t="shared" si="34"/>
        <v>130</v>
      </c>
      <c r="H426" s="3" t="str">
        <f t="shared" si="35"/>
        <v>[612] = {["comment"] = "07-16-00.0000N 130-00-00.0000E", ["callsignStr"] = "OLBIE", ["latitude"] = 7.26666666666667, ["longitude"] = 130 },</v>
      </c>
    </row>
    <row r="427" spans="1:8" ht="15" hidden="1" thickBot="1" x14ac:dyDescent="0.35">
      <c r="A427" s="4" t="s">
        <v>1244</v>
      </c>
      <c r="B427" s="4" t="s">
        <v>394</v>
      </c>
      <c r="C427" s="4" t="s">
        <v>1245</v>
      </c>
      <c r="D427" t="str">
        <f t="shared" si="31"/>
        <v>10-00-00.0000N</v>
      </c>
      <c r="E427" t="str">
        <f t="shared" si="32"/>
        <v>160-56-06.0000E</v>
      </c>
      <c r="F427">
        <f t="shared" si="33"/>
        <v>10</v>
      </c>
      <c r="G427">
        <f t="shared" si="34"/>
        <v>160.935</v>
      </c>
      <c r="H427" s="3" t="str">
        <f t="shared" si="35"/>
        <v>[613] = {["comment"] = "10-00-00.0000N 160-56-06.0000E", ["callsignStr"] = "OLGIS", ["latitude"] = 10, ["longitude"] = 160.935 },</v>
      </c>
    </row>
    <row r="428" spans="1:8" ht="29.4" hidden="1" thickBot="1" x14ac:dyDescent="0.35">
      <c r="A428" s="4" t="s">
        <v>1246</v>
      </c>
      <c r="B428" s="4" t="s">
        <v>394</v>
      </c>
      <c r="C428" s="4" t="s">
        <v>1247</v>
      </c>
      <c r="D428" t="str">
        <f t="shared" si="31"/>
        <v>78-10-35.9200N</v>
      </c>
      <c r="E428" t="str">
        <f t="shared" si="32"/>
        <v>141-00-00.0000W</v>
      </c>
      <c r="F428">
        <f t="shared" si="33"/>
        <v>78.176644444444449</v>
      </c>
      <c r="G428">
        <f t="shared" si="34"/>
        <v>-141</v>
      </c>
      <c r="H428" s="3" t="str">
        <f t="shared" si="35"/>
        <v>[614] = {["comment"] = "78-10-35.9200N 141-00-00.0000W", ["callsignStr"] = "OMEKA", ["latitude"] = 78.1766444444444, ["longitude"] = -141 },</v>
      </c>
    </row>
    <row r="429" spans="1:8" ht="15" thickBot="1" x14ac:dyDescent="0.35">
      <c r="A429" s="4" t="s">
        <v>1248</v>
      </c>
      <c r="B429" s="4" t="s">
        <v>394</v>
      </c>
      <c r="C429" s="4" t="s">
        <v>1249</v>
      </c>
      <c r="D429" t="str">
        <f t="shared" si="31"/>
        <v>21-00-00.0000N</v>
      </c>
      <c r="E429" t="str">
        <f t="shared" si="32"/>
        <v>142-59-24.0000E</v>
      </c>
      <c r="F429">
        <f t="shared" si="33"/>
        <v>21</v>
      </c>
      <c r="G429">
        <f t="shared" si="34"/>
        <v>142.98999999999998</v>
      </c>
      <c r="H429" s="3" t="str">
        <f t="shared" si="35"/>
        <v>[615] = {["comment"] = "21-00-00.0000N 142-59-24.0000E", ["callsignStr"] = "OMLET", ["latitude"] = 21, ["longitude"] = 142.99 },</v>
      </c>
    </row>
    <row r="430" spans="1:8" ht="29.4" hidden="1" thickBot="1" x14ac:dyDescent="0.35">
      <c r="A430" s="4" t="s">
        <v>1250</v>
      </c>
      <c r="B430" s="4" t="s">
        <v>394</v>
      </c>
      <c r="C430" s="4" t="s">
        <v>1251</v>
      </c>
      <c r="D430" t="str">
        <f t="shared" si="31"/>
        <v>48-59-42.8000N</v>
      </c>
      <c r="E430" t="str">
        <f t="shared" si="32"/>
        <v>160-00-39.1000E</v>
      </c>
      <c r="F430">
        <f t="shared" si="33"/>
        <v>48.995222222222225</v>
      </c>
      <c r="G430">
        <f t="shared" si="34"/>
        <v>160.0108611111111</v>
      </c>
      <c r="H430" s="3" t="str">
        <f t="shared" si="35"/>
        <v>[616] = {["comment"] = "48-59-42.8000N 160-00-39.1000E", ["callsignStr"] = "OMOTO", ["latitude"] = 48.9952222222222, ["longitude"] = 160.010861111111 },</v>
      </c>
    </row>
    <row r="431" spans="1:8" ht="29.4" hidden="1" thickBot="1" x14ac:dyDescent="0.35">
      <c r="A431" s="4" t="s">
        <v>1252</v>
      </c>
      <c r="B431" s="4" t="s">
        <v>394</v>
      </c>
      <c r="C431" s="4" t="s">
        <v>1253</v>
      </c>
      <c r="D431" t="str">
        <f t="shared" si="31"/>
        <v>54-12-08.8000N</v>
      </c>
      <c r="E431" t="str">
        <f t="shared" si="32"/>
        <v>172-40-50.9000E</v>
      </c>
      <c r="F431">
        <f t="shared" si="33"/>
        <v>54.202444444444446</v>
      </c>
      <c r="G431">
        <f t="shared" si="34"/>
        <v>172.68080555555554</v>
      </c>
      <c r="H431" s="3" t="str">
        <f t="shared" si="35"/>
        <v>[617] = {["comment"] = "54-12-08.8000N 172-40-50.9000E", ["callsignStr"] = "ONEIL", ["latitude"] = 54.2024444444444, ["longitude"] = 172.680805555556 },</v>
      </c>
    </row>
    <row r="432" spans="1:8" ht="29.4" hidden="1" thickBot="1" x14ac:dyDescent="0.35">
      <c r="A432" s="4" t="s">
        <v>1254</v>
      </c>
      <c r="B432" s="4" t="s">
        <v>394</v>
      </c>
      <c r="C432" s="4" t="s">
        <v>1255</v>
      </c>
      <c r="D432" t="str">
        <f t="shared" si="31"/>
        <v>58-46-00.5000N</v>
      </c>
      <c r="E432" t="str">
        <f t="shared" si="32"/>
        <v>171-19-00.6000W</v>
      </c>
      <c r="F432">
        <f t="shared" si="33"/>
        <v>58.766805555555557</v>
      </c>
      <c r="G432">
        <f t="shared" si="34"/>
        <v>-171.31683333333334</v>
      </c>
      <c r="H432" s="3" t="str">
        <f t="shared" si="35"/>
        <v>[618] = {["comment"] = "58-46-00.5000N 171-19-00.6000W", ["callsignStr"] = "ONEOX", ["latitude"] = 58.7668055555556, ["longitude"] = -171.316833333333 },</v>
      </c>
    </row>
    <row r="433" spans="1:8" ht="29.4" hidden="1" thickBot="1" x14ac:dyDescent="0.35">
      <c r="A433" s="4" t="s">
        <v>1256</v>
      </c>
      <c r="B433" s="4" t="s">
        <v>394</v>
      </c>
      <c r="C433" s="4" t="s">
        <v>1257</v>
      </c>
      <c r="D433" t="str">
        <f t="shared" si="31"/>
        <v>08-46-20.3900N</v>
      </c>
      <c r="E433" t="str">
        <f t="shared" si="32"/>
        <v>167-54-04.0100E</v>
      </c>
      <c r="F433">
        <f t="shared" si="33"/>
        <v>8.7723305555555555</v>
      </c>
      <c r="G433">
        <f t="shared" si="34"/>
        <v>167.90111388888889</v>
      </c>
      <c r="H433" s="3" t="str">
        <f t="shared" si="35"/>
        <v>[619] = {["comment"] = "08-46-20.3900N 167-54-04.0100E", ["callsignStr"] = "OPOLY", ["latitude"] = 8.77233055555556, ["longitude"] = 167.901113888889 },</v>
      </c>
    </row>
    <row r="434" spans="1:8" ht="29.4" hidden="1" thickBot="1" x14ac:dyDescent="0.35">
      <c r="A434" s="4" t="s">
        <v>1258</v>
      </c>
      <c r="B434" s="4" t="s">
        <v>394</v>
      </c>
      <c r="C434" s="4" t="s">
        <v>1259</v>
      </c>
      <c r="D434" t="str">
        <f t="shared" si="31"/>
        <v>48-03-55.5300N</v>
      </c>
      <c r="E434" t="str">
        <f t="shared" si="32"/>
        <v>124-59-05.9200W</v>
      </c>
      <c r="F434">
        <f t="shared" si="33"/>
        <v>48.065424999999998</v>
      </c>
      <c r="G434">
        <f t="shared" si="34"/>
        <v>-124.98497777777777</v>
      </c>
      <c r="H434" s="3" t="str">
        <f t="shared" si="35"/>
        <v>[620] = {["comment"] = "48-03-55.5300N 124-59-05.9200W", ["callsignStr"] = "ORCAA", ["latitude"] = 48.065425, ["longitude"] = -124.984977777778 },</v>
      </c>
    </row>
    <row r="435" spans="1:8" ht="29.4" hidden="1" thickBot="1" x14ac:dyDescent="0.35">
      <c r="A435" s="4" t="s">
        <v>1260</v>
      </c>
      <c r="B435" s="4" t="s">
        <v>394</v>
      </c>
      <c r="C435" s="4" t="s">
        <v>1261</v>
      </c>
      <c r="D435" t="str">
        <f t="shared" si="31"/>
        <v>07-26-53.0000N</v>
      </c>
      <c r="E435" t="str">
        <f t="shared" si="32"/>
        <v>170-28-09.0000E</v>
      </c>
      <c r="F435">
        <f t="shared" si="33"/>
        <v>7.4480555555555554</v>
      </c>
      <c r="G435">
        <f t="shared" si="34"/>
        <v>170.46916666666667</v>
      </c>
      <c r="H435" s="3" t="str">
        <f t="shared" si="35"/>
        <v>[621] = {["comment"] = "07-26-53.0000N 170-28-09.0000E", ["callsignStr"] = "OREEO", ["latitude"] = 7.44805555555556, ["longitude"] = 170.469166666667 },</v>
      </c>
    </row>
    <row r="436" spans="1:8" ht="29.4" hidden="1" thickBot="1" x14ac:dyDescent="0.35">
      <c r="A436" s="4" t="s">
        <v>1262</v>
      </c>
      <c r="B436" s="4" t="s">
        <v>394</v>
      </c>
      <c r="C436" s="4" t="s">
        <v>1263</v>
      </c>
      <c r="D436" t="str">
        <f t="shared" si="31"/>
        <v>50-00-00.0000N</v>
      </c>
      <c r="E436" t="str">
        <f t="shared" si="32"/>
        <v>133-23-51.0000W</v>
      </c>
      <c r="F436">
        <f t="shared" si="33"/>
        <v>50</v>
      </c>
      <c r="G436">
        <f t="shared" si="34"/>
        <v>-133.39749999999998</v>
      </c>
      <c r="H436" s="3" t="str">
        <f t="shared" si="35"/>
        <v>[622] = {["comment"] = "50-00-00.0000N 133-23-51.0000W", ["callsignStr"] = "ORNAI", ["latitude"] = 50, ["longitude"] = -133.3975 },</v>
      </c>
    </row>
    <row r="437" spans="1:8" ht="29.4" thickBot="1" x14ac:dyDescent="0.35">
      <c r="A437" s="4" t="s">
        <v>1264</v>
      </c>
      <c r="B437" s="4" t="s">
        <v>394</v>
      </c>
      <c r="C437" s="4" t="s">
        <v>1265</v>
      </c>
      <c r="D437" t="str">
        <f t="shared" si="31"/>
        <v>14-24-30.0000N</v>
      </c>
      <c r="E437" t="str">
        <f t="shared" si="32"/>
        <v>143-19-12.0000E</v>
      </c>
      <c r="F437">
        <f t="shared" si="33"/>
        <v>14.408333333333333</v>
      </c>
      <c r="G437">
        <f t="shared" si="34"/>
        <v>143.32</v>
      </c>
      <c r="H437" s="3" t="str">
        <f t="shared" si="35"/>
        <v>[623] = {["comment"] = "14-24-30.0000N 143-19-12.0000E", ["callsignStr"] = "OTTRE", ["latitude"] = 14.4083333333333, ["longitude"] = 143.32 },</v>
      </c>
    </row>
    <row r="438" spans="1:8" ht="15" hidden="1" thickBot="1" x14ac:dyDescent="0.35">
      <c r="A438" s="4" t="s">
        <v>1266</v>
      </c>
      <c r="B438" s="4" t="s">
        <v>394</v>
      </c>
      <c r="C438" s="4" t="s">
        <v>1267</v>
      </c>
      <c r="D438" t="str">
        <f t="shared" si="31"/>
        <v>38-00-00.0000N</v>
      </c>
      <c r="E438" t="str">
        <f t="shared" si="32"/>
        <v>125-30-00.0000W</v>
      </c>
      <c r="F438">
        <f t="shared" si="33"/>
        <v>38</v>
      </c>
      <c r="G438">
        <f t="shared" si="34"/>
        <v>-125.5</v>
      </c>
      <c r="H438" s="3" t="str">
        <f t="shared" si="35"/>
        <v>[624] = {["comment"] = "38-00-00.0000N 125-30-00.0000W", ["callsignStr"] = "PAINT", ["latitude"] = 38, ["longitude"] = -125.5 },</v>
      </c>
    </row>
    <row r="439" spans="1:8" ht="29.4" thickBot="1" x14ac:dyDescent="0.35">
      <c r="A439" s="4" t="s">
        <v>1268</v>
      </c>
      <c r="B439" s="4" t="s">
        <v>394</v>
      </c>
      <c r="C439" s="4" t="s">
        <v>1269</v>
      </c>
      <c r="D439" t="str">
        <f t="shared" si="31"/>
        <v>21-00-00.0000N</v>
      </c>
      <c r="E439" t="str">
        <f t="shared" si="32"/>
        <v>137-49-18.0000E</v>
      </c>
      <c r="F439">
        <f t="shared" si="33"/>
        <v>21</v>
      </c>
      <c r="G439">
        <f t="shared" si="34"/>
        <v>137.82166666666666</v>
      </c>
      <c r="H439" s="3" t="str">
        <f t="shared" si="35"/>
        <v>[625] = {["comment"] = "21-00-00.0000N 137-49-18.0000E", ["callsignStr"] = "PAKDO", ["latitude"] = 21, ["longitude"] = 137.821666666667 },</v>
      </c>
    </row>
    <row r="440" spans="1:8" ht="29.4" hidden="1" thickBot="1" x14ac:dyDescent="0.35">
      <c r="A440" s="4" t="s">
        <v>1270</v>
      </c>
      <c r="B440" s="4" t="s">
        <v>394</v>
      </c>
      <c r="C440" s="4" t="s">
        <v>1271</v>
      </c>
      <c r="D440" t="str">
        <f t="shared" si="31"/>
        <v>37-11-38.0000N</v>
      </c>
      <c r="E440" t="str">
        <f t="shared" si="32"/>
        <v>123-08-00.0000W</v>
      </c>
      <c r="F440">
        <f t="shared" si="33"/>
        <v>37.193888888888885</v>
      </c>
      <c r="G440">
        <f t="shared" si="34"/>
        <v>-123.13333333333334</v>
      </c>
      <c r="H440" s="3" t="str">
        <f t="shared" si="35"/>
        <v>[626] = {["comment"] = "37-11-38.0000N 123-08-00.0000W", ["callsignStr"] = "PASIF", ["latitude"] = 37.1938888888889, ["longitude"] = -123.133333333333 },</v>
      </c>
    </row>
    <row r="441" spans="1:8" ht="29.4" hidden="1" thickBot="1" x14ac:dyDescent="0.35">
      <c r="A441" s="4" t="s">
        <v>1272</v>
      </c>
      <c r="B441" s="4" t="s">
        <v>394</v>
      </c>
      <c r="C441" s="4" t="s">
        <v>1273</v>
      </c>
      <c r="D441" t="str">
        <f t="shared" si="31"/>
        <v>48-17-06.9000N</v>
      </c>
      <c r="E441" t="str">
        <f t="shared" si="32"/>
        <v>160-40-31.8000E</v>
      </c>
      <c r="F441">
        <f t="shared" si="33"/>
        <v>48.285249999999998</v>
      </c>
      <c r="G441">
        <f t="shared" si="34"/>
        <v>160.6755</v>
      </c>
      <c r="H441" s="3" t="str">
        <f t="shared" si="35"/>
        <v>[627] = {["comment"] = "48-17-06.9000N 160-40-31.8000E", ["callsignStr"] = "PASRO", ["latitude"] = 48.28525, ["longitude"] = 160.6755 },</v>
      </c>
    </row>
    <row r="442" spans="1:8" ht="15" hidden="1" thickBot="1" x14ac:dyDescent="0.35">
      <c r="A442" s="4" t="s">
        <v>1274</v>
      </c>
      <c r="B442" s="4" t="s">
        <v>394</v>
      </c>
      <c r="C442" s="4" t="s">
        <v>1275</v>
      </c>
      <c r="D442" t="str">
        <f t="shared" si="31"/>
        <v>05-00-00.0000S</v>
      </c>
      <c r="E442" t="str">
        <f t="shared" si="32"/>
        <v>161-31-30.0000W</v>
      </c>
      <c r="F442">
        <f t="shared" si="33"/>
        <v>5</v>
      </c>
      <c r="G442">
        <f t="shared" si="34"/>
        <v>-161.52500000000001</v>
      </c>
      <c r="H442" s="3" t="str">
        <f t="shared" si="35"/>
        <v>[628] = {["comment"] = "05-00-00.0000S 161-31-30.0000W", ["callsignStr"] = "PASSA", ["latitude"] = 5, ["longitude"] = -161.525 },</v>
      </c>
    </row>
    <row r="443" spans="1:8" ht="15" hidden="1" thickBot="1" x14ac:dyDescent="0.35">
      <c r="A443" s="4" t="s">
        <v>1276</v>
      </c>
      <c r="B443" s="4" t="s">
        <v>394</v>
      </c>
      <c r="C443" s="4" t="s">
        <v>1277</v>
      </c>
      <c r="D443" t="str">
        <f t="shared" si="31"/>
        <v>83-00-00.0000N</v>
      </c>
      <c r="E443" t="str">
        <f t="shared" si="32"/>
        <v>141-00-00.0000W</v>
      </c>
      <c r="F443">
        <f t="shared" si="33"/>
        <v>83</v>
      </c>
      <c r="G443">
        <f t="shared" si="34"/>
        <v>-141</v>
      </c>
      <c r="H443" s="3" t="str">
        <f t="shared" si="35"/>
        <v>[629] = {["comment"] = "83-00-00.0000N 141-00-00.0000W", ["callsignStr"] = "PEASY", ["latitude"] = 83, ["longitude"] = -141 },</v>
      </c>
    </row>
    <row r="444" spans="1:8" ht="29.4" hidden="1" thickBot="1" x14ac:dyDescent="0.35">
      <c r="A444" s="4" t="s">
        <v>1278</v>
      </c>
      <c r="B444" s="4" t="s">
        <v>394</v>
      </c>
      <c r="C444" s="4" t="s">
        <v>1279</v>
      </c>
      <c r="D444" t="str">
        <f t="shared" si="31"/>
        <v>39-15-40.0600N</v>
      </c>
      <c r="E444" t="str">
        <f t="shared" si="32"/>
        <v>124-12-23.6900W</v>
      </c>
      <c r="F444">
        <f t="shared" si="33"/>
        <v>39.26112777777778</v>
      </c>
      <c r="G444">
        <f t="shared" si="34"/>
        <v>-124.20658055555556</v>
      </c>
      <c r="H444" s="3" t="str">
        <f t="shared" si="35"/>
        <v>[630] = {["comment"] = "39-15-40.0600N 124-12-23.6900W", ["callsignStr"] = "PEBLL", ["latitude"] = 39.2611277777778, ["longitude"] = -124.206580555556 },</v>
      </c>
    </row>
    <row r="445" spans="1:8" ht="29.4" hidden="1" thickBot="1" x14ac:dyDescent="0.35">
      <c r="A445" s="4" t="s">
        <v>1280</v>
      </c>
      <c r="B445" s="4" t="s">
        <v>394</v>
      </c>
      <c r="C445" s="4" t="s">
        <v>1281</v>
      </c>
      <c r="D445" t="str">
        <f t="shared" si="31"/>
        <v>48-26-22.8000N</v>
      </c>
      <c r="E445" t="str">
        <f t="shared" si="32"/>
        <v>126-15-36.0000W</v>
      </c>
      <c r="F445">
        <f t="shared" si="33"/>
        <v>48.43966666666666</v>
      </c>
      <c r="G445">
        <f t="shared" si="34"/>
        <v>-126.26</v>
      </c>
      <c r="H445" s="3" t="str">
        <f t="shared" si="35"/>
        <v>[631] = {["comment"] = "48-26-22.8000N 126-15-36.0000W", ["callsignStr"] = "PEKAA", ["latitude"] = 48.4396666666667, ["longitude"] = -126.26 },</v>
      </c>
    </row>
    <row r="446" spans="1:8" ht="29.4" hidden="1" thickBot="1" x14ac:dyDescent="0.35">
      <c r="A446" s="4" t="s">
        <v>1282</v>
      </c>
      <c r="B446" s="4" t="s">
        <v>394</v>
      </c>
      <c r="C446" s="4" t="s">
        <v>1283</v>
      </c>
      <c r="D446" t="str">
        <f t="shared" si="31"/>
        <v>17-01-06.0000N</v>
      </c>
      <c r="E446" t="str">
        <f t="shared" si="32"/>
        <v>156-39-24.0000E</v>
      </c>
      <c r="F446">
        <f t="shared" si="33"/>
        <v>17.018333333333331</v>
      </c>
      <c r="G446">
        <f t="shared" si="34"/>
        <v>156.65666666666667</v>
      </c>
      <c r="H446" s="3" t="str">
        <f t="shared" si="35"/>
        <v>[632] = {["comment"] = "17-01-06.0000N 156-39-24.0000E", ["callsignStr"] = "PHILY", ["latitude"] = 17.0183333333333, ["longitude"] = 156.656666666667 },</v>
      </c>
    </row>
    <row r="447" spans="1:8" ht="15" hidden="1" thickBot="1" x14ac:dyDescent="0.35">
      <c r="A447" s="4" t="s">
        <v>1284</v>
      </c>
      <c r="B447" s="4" t="s">
        <v>394</v>
      </c>
      <c r="C447" s="4" t="s">
        <v>1285</v>
      </c>
      <c r="D447" t="str">
        <f t="shared" si="31"/>
        <v>55-00-00.0000N</v>
      </c>
      <c r="E447" t="str">
        <f t="shared" si="32"/>
        <v>140-00-00.0000W</v>
      </c>
      <c r="F447">
        <f t="shared" si="33"/>
        <v>55</v>
      </c>
      <c r="G447">
        <f t="shared" si="34"/>
        <v>-140</v>
      </c>
      <c r="H447" s="3" t="str">
        <f t="shared" si="35"/>
        <v>[633] = {["comment"] = "55-00-00.0000N 140-00-00.0000W", ["callsignStr"] = "PHINK", ["latitude"] = 55, ["longitude"] = -140 },</v>
      </c>
    </row>
    <row r="448" spans="1:8" ht="29.4" hidden="1" thickBot="1" x14ac:dyDescent="0.35">
      <c r="A448" s="4" t="s">
        <v>1286</v>
      </c>
      <c r="B448" s="4" t="s">
        <v>394</v>
      </c>
      <c r="C448" s="4" t="s">
        <v>1287</v>
      </c>
      <c r="D448" t="str">
        <f t="shared" si="31"/>
        <v>33-19-22.3100N</v>
      </c>
      <c r="E448" t="str">
        <f t="shared" si="32"/>
        <v>118-05-53.8200W</v>
      </c>
      <c r="F448">
        <f t="shared" si="33"/>
        <v>33.32286388888889</v>
      </c>
      <c r="G448">
        <f t="shared" si="34"/>
        <v>-118.09828333333333</v>
      </c>
      <c r="H448" s="3" t="str">
        <f t="shared" si="35"/>
        <v>[634] = {["comment"] = "33-19-22.3100N 118-05-53.8200W", ["callsignStr"] = "PHUNN", ["latitude"] = 33.3228638888889, ["longitude"] = -118.098283333333 },</v>
      </c>
    </row>
    <row r="449" spans="1:8" ht="29.4" thickBot="1" x14ac:dyDescent="0.35">
      <c r="A449" s="4" t="s">
        <v>1288</v>
      </c>
      <c r="B449" s="4" t="s">
        <v>394</v>
      </c>
      <c r="C449" s="4" t="s">
        <v>1289</v>
      </c>
      <c r="D449" t="str">
        <f t="shared" si="31"/>
        <v>11-07-30.0000N</v>
      </c>
      <c r="E449" t="str">
        <f t="shared" si="32"/>
        <v>141-24-42.0000E</v>
      </c>
      <c r="F449">
        <f t="shared" si="33"/>
        <v>11.125</v>
      </c>
      <c r="G449">
        <f t="shared" si="34"/>
        <v>141.41166666666666</v>
      </c>
      <c r="H449" s="3" t="str">
        <f t="shared" si="35"/>
        <v>[635] = {["comment"] = "11-07-30.0000N 141-24-42.0000E", ["callsignStr"] = "PIGFA", ["latitude"] = 11.125, ["longitude"] = 141.411666666667 },</v>
      </c>
    </row>
    <row r="450" spans="1:8" ht="29.4" hidden="1" thickBot="1" x14ac:dyDescent="0.35">
      <c r="A450" s="4" t="s">
        <v>1290</v>
      </c>
      <c r="B450" s="4" t="s">
        <v>394</v>
      </c>
      <c r="C450" s="4" t="s">
        <v>1291</v>
      </c>
      <c r="D450" t="str">
        <f t="shared" si="31"/>
        <v>00-00-00.0000N</v>
      </c>
      <c r="E450" t="str">
        <f t="shared" si="32"/>
        <v>146-08-30.0000E</v>
      </c>
      <c r="F450">
        <f t="shared" si="33"/>
        <v>0</v>
      </c>
      <c r="G450">
        <f t="shared" si="34"/>
        <v>146.14166666666665</v>
      </c>
      <c r="H450" s="3" t="str">
        <f t="shared" si="35"/>
        <v>[636] = {["comment"] = "00-00-00.0000N 146-08-30.0000E", ["callsignStr"] = "PIKOK", ["latitude"] = 0, ["longitude"] = 146.141666666667 },</v>
      </c>
    </row>
    <row r="451" spans="1:8" ht="29.4" hidden="1" thickBot="1" x14ac:dyDescent="0.35">
      <c r="A451" s="4" t="s">
        <v>1292</v>
      </c>
      <c r="B451" s="4" t="s">
        <v>394</v>
      </c>
      <c r="C451" s="4" t="s">
        <v>1293</v>
      </c>
      <c r="D451" t="str">
        <f t="shared" ref="D451:D514" si="36">findLatitude(C451)</f>
        <v>53-28-08.6000N</v>
      </c>
      <c r="E451" t="str">
        <f t="shared" ref="E451:E514" si="37">findLongitude(C451)</f>
        <v>173-22-40.8000E</v>
      </c>
      <c r="F451">
        <f t="shared" ref="F451:F514" si="38">VALUE(MID(D451,1,2))+VALUE(MID(D451,4,2))/60+VALUE(MID(D451,7,7))/(1*3600)</f>
        <v>53.469055555555556</v>
      </c>
      <c r="G451">
        <f t="shared" ref="G451:G514" si="39">(VALUE(MID(E451,1,3))+VALUE(MID(E451,5,2))/60+VALUE(MID(E451,8,7))/(1*3600))*IF(MID(E451,15,1)="E",1,-1)</f>
        <v>173.37800000000001</v>
      </c>
      <c r="H451" s="3" t="str">
        <f t="shared" ref="H451:H514" si="40">CONCATENATE("[",ROW()+$H$1-1,"] = {","[""comment""] = """,C451,""", ","[""callsignStr""] = """,A451,""", ","[""latitude""] = ",F451,", ","[""longitude""] = ",G451," },")</f>
        <v>[637] = {["comment"] = "53-28-08.6000N 173-22-40.8000E", ["callsignStr"] = "PINSO", ["latitude"] = 53.4690555555556, ["longitude"] = 173.378 },</v>
      </c>
    </row>
    <row r="452" spans="1:8" ht="29.4" hidden="1" thickBot="1" x14ac:dyDescent="0.35">
      <c r="A452" s="4" t="s">
        <v>1294</v>
      </c>
      <c r="B452" s="4" t="s">
        <v>394</v>
      </c>
      <c r="C452" s="4" t="s">
        <v>1295</v>
      </c>
      <c r="D452" t="str">
        <f t="shared" si="36"/>
        <v>37-15-27.5400N</v>
      </c>
      <c r="E452" t="str">
        <f t="shared" si="37"/>
        <v>122-51-48.0700W</v>
      </c>
      <c r="F452">
        <f t="shared" si="38"/>
        <v>37.257649999999998</v>
      </c>
      <c r="G452">
        <f t="shared" si="39"/>
        <v>-122.86335277777778</v>
      </c>
      <c r="H452" s="3" t="str">
        <f t="shared" si="40"/>
        <v>[638] = {["comment"] = "OSI*D*237.00 PYE*D*162.75 37-15-27.5400N 122-51-48.0700W", ["callsignStr"] = "PIRAT", ["latitude"] = 37.25765, ["longitude"] = -122.863352777778 },</v>
      </c>
    </row>
    <row r="453" spans="1:8" ht="29.4" hidden="1" thickBot="1" x14ac:dyDescent="0.35">
      <c r="A453" s="4" t="s">
        <v>1296</v>
      </c>
      <c r="B453" s="4" t="s">
        <v>394</v>
      </c>
      <c r="C453" s="4" t="s">
        <v>1297</v>
      </c>
      <c r="D453" t="str">
        <f t="shared" si="36"/>
        <v>58-42-38.6600N</v>
      </c>
      <c r="E453" t="str">
        <f t="shared" si="37"/>
        <v>166-59-46.3000W</v>
      </c>
      <c r="F453">
        <f t="shared" si="38"/>
        <v>58.710738888888891</v>
      </c>
      <c r="G453">
        <f t="shared" si="39"/>
        <v>-166.99619444444443</v>
      </c>
      <c r="H453" s="3" t="str">
        <f t="shared" si="40"/>
        <v>[639] = {["comment"] = "SPY*RD*033.57/139.36 58-42-38.6600N 166-59-46.3000W", ["callsignStr"] = "POETT", ["latitude"] = 58.7107388888889, ["longitude"] = -166.996194444444 },</v>
      </c>
    </row>
    <row r="454" spans="1:8" ht="29.4" hidden="1" thickBot="1" x14ac:dyDescent="0.35">
      <c r="A454" s="4" t="s">
        <v>1298</v>
      </c>
      <c r="B454" s="4" t="s">
        <v>394</v>
      </c>
      <c r="C454" s="4" t="s">
        <v>1299</v>
      </c>
      <c r="D454" t="str">
        <f t="shared" si="36"/>
        <v>55-17-56.3700N</v>
      </c>
      <c r="E454" t="str">
        <f t="shared" si="37"/>
        <v>178-37-04.8400E</v>
      </c>
      <c r="F454">
        <f t="shared" si="38"/>
        <v>55.298991666666666</v>
      </c>
      <c r="G454">
        <f t="shared" si="39"/>
        <v>178.61801111111112</v>
      </c>
      <c r="H454" s="3" t="str">
        <f t="shared" si="40"/>
        <v>[640] = {["comment"] = "55-17-56.3700N 178-37-04.8400E", ["callsignStr"] = "POOFF", ["latitude"] = 55.2989916666667, ["longitude"] = 178.618011111111 },</v>
      </c>
    </row>
    <row r="455" spans="1:8" ht="15" hidden="1" thickBot="1" x14ac:dyDescent="0.35">
      <c r="A455" s="4" t="s">
        <v>1300</v>
      </c>
      <c r="B455" s="4" t="s">
        <v>394</v>
      </c>
      <c r="C455" s="4" t="s">
        <v>1301</v>
      </c>
      <c r="D455" t="str">
        <f t="shared" si="36"/>
        <v>08-30-00.0000N</v>
      </c>
      <c r="E455" t="str">
        <f t="shared" si="37"/>
        <v>158-30-00.0000E</v>
      </c>
      <c r="F455">
        <f t="shared" si="38"/>
        <v>8.5</v>
      </c>
      <c r="G455">
        <f t="shared" si="39"/>
        <v>158.5</v>
      </c>
      <c r="H455" s="3" t="str">
        <f t="shared" si="40"/>
        <v>[641] = {["comment"] = "08-30-00.0000N 158-30-00.0000E", ["callsignStr"] = "POXIE", ["latitude"] = 8.5, ["longitude"] = 158.5 },</v>
      </c>
    </row>
    <row r="456" spans="1:8" ht="15" hidden="1" thickBot="1" x14ac:dyDescent="0.35">
      <c r="A456" s="4" t="s">
        <v>1302</v>
      </c>
      <c r="B456" s="4" t="s">
        <v>394</v>
      </c>
      <c r="C456" s="4" t="s">
        <v>1303</v>
      </c>
      <c r="D456" t="str">
        <f t="shared" si="36"/>
        <v>56-30-00.0000N</v>
      </c>
      <c r="E456" t="str">
        <f t="shared" si="37"/>
        <v>156-00-00.0000W</v>
      </c>
      <c r="F456">
        <f t="shared" si="38"/>
        <v>56.5</v>
      </c>
      <c r="G456">
        <f t="shared" si="39"/>
        <v>-156</v>
      </c>
      <c r="H456" s="3" t="str">
        <f t="shared" si="40"/>
        <v>[642] = {["comment"] = "56-30-00.0000N 156-00-00.0000W", ["callsignStr"] = "PPERL", ["latitude"] = 56.5, ["longitude"] = -156 },</v>
      </c>
    </row>
    <row r="457" spans="1:8" ht="29.4" hidden="1" thickBot="1" x14ac:dyDescent="0.35">
      <c r="A457" s="4" t="s">
        <v>1304</v>
      </c>
      <c r="B457" s="4" t="s">
        <v>394</v>
      </c>
      <c r="C457" s="4" t="s">
        <v>1305</v>
      </c>
      <c r="D457" t="str">
        <f t="shared" si="36"/>
        <v>49-00-00.0000N</v>
      </c>
      <c r="E457" t="str">
        <f t="shared" si="37"/>
        <v>132-26-36.0000W</v>
      </c>
      <c r="F457">
        <f t="shared" si="38"/>
        <v>49</v>
      </c>
      <c r="G457">
        <f t="shared" si="39"/>
        <v>-132.44333333333333</v>
      </c>
      <c r="H457" s="3" t="str">
        <f t="shared" si="40"/>
        <v>[643] = {["comment"] = "49-00-00.0000N 132-26-36.0000W", ["callsignStr"] = "PRETY", ["latitude"] = 49, ["longitude"] = -132.443333333333 },</v>
      </c>
    </row>
    <row r="458" spans="1:8" ht="29.4" hidden="1" thickBot="1" x14ac:dyDescent="0.35">
      <c r="A458" s="4" t="s">
        <v>1306</v>
      </c>
      <c r="B458" s="4" t="s">
        <v>394</v>
      </c>
      <c r="C458" s="4" t="s">
        <v>1307</v>
      </c>
      <c r="D458" t="str">
        <f t="shared" si="36"/>
        <v>37-19-12.6000N</v>
      </c>
      <c r="E458" t="str">
        <f t="shared" si="37"/>
        <v>123-08-11.9300W</v>
      </c>
      <c r="F458">
        <f t="shared" si="38"/>
        <v>37.320166666666672</v>
      </c>
      <c r="G458">
        <f t="shared" si="39"/>
        <v>-123.13664722222222</v>
      </c>
      <c r="H458" s="3" t="str">
        <f t="shared" si="40"/>
        <v>[644] = {["comment"] = "37-19-12.6000N 123-08-11.9300W", ["callsignStr"] = "PUBOC", ["latitude"] = 37.3201666666667, ["longitude"] = -123.136647222222 },</v>
      </c>
    </row>
    <row r="459" spans="1:8" ht="29.4" hidden="1" thickBot="1" x14ac:dyDescent="0.35">
      <c r="A459" s="4" t="s">
        <v>1308</v>
      </c>
      <c r="B459" s="4" t="s">
        <v>394</v>
      </c>
      <c r="C459" s="4" t="s">
        <v>1309</v>
      </c>
      <c r="D459" t="str">
        <f t="shared" si="36"/>
        <v>20-28-19.7800N</v>
      </c>
      <c r="E459" t="str">
        <f t="shared" si="37"/>
        <v>155-53-57.4600W</v>
      </c>
      <c r="F459">
        <f t="shared" si="38"/>
        <v>20.472161111111109</v>
      </c>
      <c r="G459">
        <f t="shared" si="39"/>
        <v>-155.89929444444445</v>
      </c>
      <c r="H459" s="3" t="str">
        <f t="shared" si="40"/>
        <v>[645] = {["comment"] = "LNY*C*095.00/62.68 UPP*C*338.00/16.54 MKK*C*107.96/81.65 20-28-19.7800N 155-53-57.4600W", ["callsignStr"] = "PULPS", ["latitude"] = 20.4721611111111, ["longitude"] = -155.899294444444 },</v>
      </c>
    </row>
    <row r="460" spans="1:8" ht="29.4" hidden="1" thickBot="1" x14ac:dyDescent="0.35">
      <c r="A460" s="4" t="s">
        <v>1310</v>
      </c>
      <c r="B460" s="4" t="s">
        <v>394</v>
      </c>
      <c r="C460" s="4" t="s">
        <v>1311</v>
      </c>
      <c r="D460" t="str">
        <f t="shared" si="36"/>
        <v>21-55-16.9800N</v>
      </c>
      <c r="E460" t="str">
        <f t="shared" si="37"/>
        <v>161-40-46.6800W</v>
      </c>
      <c r="F460">
        <f t="shared" si="38"/>
        <v>21.921383333333335</v>
      </c>
      <c r="G460">
        <f t="shared" si="39"/>
        <v>-161.67963333333333</v>
      </c>
      <c r="H460" s="3" t="str">
        <f t="shared" si="40"/>
        <v>[646] = {["comment"] = "SOK*C*260.00/120.00 21-55-16.9800N 161-40-46.6800W", ["callsignStr"] = "PUPPI", ["latitude"] = 21.9213833333333, ["longitude"] = -161.679633333333 },</v>
      </c>
    </row>
    <row r="461" spans="1:8" ht="29.4" hidden="1" thickBot="1" x14ac:dyDescent="0.35">
      <c r="A461" s="4" t="s">
        <v>1312</v>
      </c>
      <c r="B461" s="4" t="s">
        <v>394</v>
      </c>
      <c r="C461" s="4" t="s">
        <v>1313</v>
      </c>
      <c r="D461" t="str">
        <f t="shared" si="36"/>
        <v>01-03-34.0000N</v>
      </c>
      <c r="E461" t="str">
        <f t="shared" si="37"/>
        <v>155-45-53.0000W</v>
      </c>
      <c r="F461">
        <f t="shared" si="38"/>
        <v>1.0594444444444444</v>
      </c>
      <c r="G461">
        <f t="shared" si="39"/>
        <v>-155.76472222222222</v>
      </c>
      <c r="H461" s="3" t="str">
        <f t="shared" si="40"/>
        <v>[647] = {["comment"] = "01-03-34.0000N 155-45-53.0000W", ["callsignStr"] = "QUIGG", ["latitude"] = 1.05944444444444, ["longitude"] = -155.764722222222 },</v>
      </c>
    </row>
    <row r="462" spans="1:8" ht="15" hidden="1" thickBot="1" x14ac:dyDescent="0.35">
      <c r="A462" s="4" t="s">
        <v>1314</v>
      </c>
      <c r="B462" s="4" t="s">
        <v>394</v>
      </c>
      <c r="C462" s="4" t="s">
        <v>1315</v>
      </c>
      <c r="D462" t="str">
        <f t="shared" si="36"/>
        <v>54-00-00.0000N</v>
      </c>
      <c r="E462" t="str">
        <f t="shared" si="37"/>
        <v>170-00-00.0000W</v>
      </c>
      <c r="F462">
        <f t="shared" si="38"/>
        <v>54</v>
      </c>
      <c r="G462">
        <f t="shared" si="39"/>
        <v>-170</v>
      </c>
      <c r="H462" s="3" t="str">
        <f t="shared" si="40"/>
        <v>[648] = {["comment"] = "54-00-00.0000N 170-00-00.0000W", ["callsignStr"] = "RADIC", ["latitude"] = 54, ["longitude"] = -170 },</v>
      </c>
    </row>
    <row r="463" spans="1:8" ht="29.4" hidden="1" thickBot="1" x14ac:dyDescent="0.35">
      <c r="A463" s="4" t="s">
        <v>1316</v>
      </c>
      <c r="B463" s="4" t="s">
        <v>394</v>
      </c>
      <c r="C463" s="4" t="s">
        <v>1317</v>
      </c>
      <c r="D463" t="str">
        <f t="shared" si="36"/>
        <v>09-47-32.0000N</v>
      </c>
      <c r="E463" t="str">
        <f t="shared" si="37"/>
        <v>158-12-52.0000W</v>
      </c>
      <c r="F463">
        <f t="shared" si="38"/>
        <v>9.7922222222222217</v>
      </c>
      <c r="G463">
        <f t="shared" si="39"/>
        <v>-158.21444444444444</v>
      </c>
      <c r="H463" s="3" t="str">
        <f t="shared" si="40"/>
        <v>[649] = {["comment"] = "09-47-32.0000N 158-12-52.0000W", ["callsignStr"] = "RAGDE", ["latitude"] = 9.79222222222222, ["longitude"] = -158.214444444444 },</v>
      </c>
    </row>
    <row r="464" spans="1:8" ht="29.4" hidden="1" thickBot="1" x14ac:dyDescent="0.35">
      <c r="A464" s="4" t="s">
        <v>1318</v>
      </c>
      <c r="B464" s="4" t="s">
        <v>394</v>
      </c>
      <c r="C464" s="4" t="s">
        <v>1319</v>
      </c>
      <c r="D464" t="str">
        <f t="shared" si="36"/>
        <v>37-10-03.9200N</v>
      </c>
      <c r="E464" t="str">
        <f t="shared" si="37"/>
        <v>123-14-35.9800W</v>
      </c>
      <c r="F464">
        <f t="shared" si="38"/>
        <v>37.167755555555551</v>
      </c>
      <c r="G464">
        <f t="shared" si="39"/>
        <v>-123.24332777777778</v>
      </c>
      <c r="H464" s="3" t="str">
        <f t="shared" si="40"/>
        <v>[650] = {["comment"] = "OAK*D*218.84/59.10 37-10-03.9200N 123-14-35.9800W", ["callsignStr"] = "RAINS", ["latitude"] = 37.1677555555556, ["longitude"] = -123.243327777778 },</v>
      </c>
    </row>
    <row r="465" spans="1:8" ht="29.4" hidden="1" thickBot="1" x14ac:dyDescent="0.35">
      <c r="A465" s="4" t="s">
        <v>1320</v>
      </c>
      <c r="B465" s="4" t="s">
        <v>394</v>
      </c>
      <c r="C465" s="4" t="s">
        <v>1321</v>
      </c>
      <c r="D465" t="str">
        <f t="shared" si="36"/>
        <v>05-00-00.0000S</v>
      </c>
      <c r="E465" t="str">
        <f t="shared" si="37"/>
        <v>159-05-12.0000W</v>
      </c>
      <c r="F465">
        <f t="shared" si="38"/>
        <v>5</v>
      </c>
      <c r="G465">
        <f t="shared" si="39"/>
        <v>-159.08666666666667</v>
      </c>
      <c r="H465" s="3" t="str">
        <f t="shared" si="40"/>
        <v>[651] = {["comment"] = "05-00-00.0000S 159-05-12.0000W", ["callsignStr"] = "RAMIZ", ["latitude"] = 5, ["longitude"] = -159.086666666667 },</v>
      </c>
    </row>
    <row r="466" spans="1:8" ht="29.4" hidden="1" thickBot="1" x14ac:dyDescent="0.35">
      <c r="A466" s="4" t="s">
        <v>1322</v>
      </c>
      <c r="B466" s="4" t="s">
        <v>394</v>
      </c>
      <c r="C466" s="4" t="s">
        <v>1323</v>
      </c>
      <c r="D466" t="str">
        <f t="shared" si="36"/>
        <v>02-25-03.0000N</v>
      </c>
      <c r="E466" t="str">
        <f t="shared" si="37"/>
        <v>158-39-06.0000W</v>
      </c>
      <c r="F466">
        <f t="shared" si="38"/>
        <v>2.4175</v>
      </c>
      <c r="G466">
        <f t="shared" si="39"/>
        <v>-158.65166666666667</v>
      </c>
      <c r="H466" s="3" t="str">
        <f t="shared" si="40"/>
        <v>[652] = {["comment"] = "02-25-03.0000N 158-39-06.0000W", ["callsignStr"] = "RAYOR", ["latitude"] = 2.4175, ["longitude"] = -158.651666666667 },</v>
      </c>
    </row>
    <row r="467" spans="1:8" ht="29.4" hidden="1" thickBot="1" x14ac:dyDescent="0.35">
      <c r="A467" s="4" t="s">
        <v>1324</v>
      </c>
      <c r="B467" s="4" t="s">
        <v>394</v>
      </c>
      <c r="C467" s="4" t="s">
        <v>1325</v>
      </c>
      <c r="D467" t="str">
        <f t="shared" si="36"/>
        <v>34-58-17.8100N</v>
      </c>
      <c r="E467" t="str">
        <f t="shared" si="37"/>
        <v>120-40-37.3900W</v>
      </c>
      <c r="F467">
        <f t="shared" si="38"/>
        <v>34.971613888888889</v>
      </c>
      <c r="G467">
        <f t="shared" si="39"/>
        <v>-120.67705277777779</v>
      </c>
      <c r="H467" s="3" t="str">
        <f t="shared" si="40"/>
        <v>[653] = {["comment"] = "34-58-17.8100N 120-40-37.3900W", ["callsignStr"] = "RBOTO", ["latitude"] = 34.9716138888889, ["longitude"] = -120.677052777778 },</v>
      </c>
    </row>
    <row r="468" spans="1:8" ht="29.4" hidden="1" thickBot="1" x14ac:dyDescent="0.35">
      <c r="A468" s="4" t="s">
        <v>1326</v>
      </c>
      <c r="B468" s="4" t="s">
        <v>394</v>
      </c>
      <c r="C468" s="4" t="s">
        <v>1327</v>
      </c>
      <c r="D468" t="str">
        <f t="shared" si="36"/>
        <v>59-05-00.0000N</v>
      </c>
      <c r="E468" t="str">
        <f t="shared" si="37"/>
        <v>163-55-00.0000W</v>
      </c>
      <c r="F468">
        <f t="shared" si="38"/>
        <v>59.083333333333336</v>
      </c>
      <c r="G468">
        <f t="shared" si="39"/>
        <v>-163.91666666666666</v>
      </c>
      <c r="H468" s="3" t="str">
        <f t="shared" si="40"/>
        <v>[654] = {["comment"] = "59-05-00.0000N 163-55-00.0000W", ["callsignStr"] = "REDRM", ["latitude"] = 59.0833333333333, ["longitude"] = -163.916666666667 },</v>
      </c>
    </row>
    <row r="469" spans="1:8" ht="29.4" hidden="1" thickBot="1" x14ac:dyDescent="0.35">
      <c r="A469" s="4" t="s">
        <v>1328</v>
      </c>
      <c r="B469" s="4" t="s">
        <v>394</v>
      </c>
      <c r="C469" s="4" t="s">
        <v>1329</v>
      </c>
      <c r="D469" t="str">
        <f t="shared" si="36"/>
        <v>40-00-00.0000N</v>
      </c>
      <c r="E469" t="str">
        <f t="shared" si="37"/>
        <v>126-30-00.0000W</v>
      </c>
      <c r="F469">
        <f t="shared" si="38"/>
        <v>40</v>
      </c>
      <c r="G469">
        <f t="shared" si="39"/>
        <v>-126.5</v>
      </c>
      <c r="H469" s="3" t="str">
        <f t="shared" si="40"/>
        <v>[655] = {["comment"] = "40-00-00.0000N 126-30-00.0000W", ["callsignStr"] = "REDWD", ["latitude"] = 40, ["longitude"] = -126.5 },</v>
      </c>
    </row>
    <row r="470" spans="1:8" ht="29.4" thickBot="1" x14ac:dyDescent="0.35">
      <c r="A470" s="4" t="s">
        <v>1330</v>
      </c>
      <c r="B470" s="4" t="s">
        <v>394</v>
      </c>
      <c r="C470" s="4" t="s">
        <v>1331</v>
      </c>
      <c r="D470" t="str">
        <f t="shared" si="36"/>
        <v>14-57-00.0000N</v>
      </c>
      <c r="E470" t="str">
        <f t="shared" si="37"/>
        <v>143-59-00.0000E</v>
      </c>
      <c r="F470">
        <f t="shared" si="38"/>
        <v>14.95</v>
      </c>
      <c r="G470">
        <f t="shared" si="39"/>
        <v>143.98333333333332</v>
      </c>
      <c r="H470" s="3" t="str">
        <f t="shared" si="40"/>
        <v>[656] = {["comment"] = "14-57-00.0000N 143-59-00.0000E", ["callsignStr"] = "REEDE", ["latitude"] = 14.95, ["longitude"] = 143.983333333333 },</v>
      </c>
    </row>
    <row r="471" spans="1:8" ht="29.4" hidden="1" thickBot="1" x14ac:dyDescent="0.35">
      <c r="A471" s="4" t="s">
        <v>1332</v>
      </c>
      <c r="B471" s="4" t="s">
        <v>394</v>
      </c>
      <c r="C471" s="4" t="s">
        <v>1333</v>
      </c>
      <c r="D471" t="str">
        <f t="shared" si="36"/>
        <v>20-36-27.0000N</v>
      </c>
      <c r="E471" t="str">
        <f t="shared" si="37"/>
        <v>180-00-00.0000W</v>
      </c>
      <c r="F471">
        <f t="shared" si="38"/>
        <v>20.607500000000002</v>
      </c>
      <c r="G471">
        <f t="shared" si="39"/>
        <v>-180</v>
      </c>
      <c r="H471" s="3" t="str">
        <f t="shared" si="40"/>
        <v>[657] = {["comment"] = "20-36-27.0000N 180-00-00.0000W", ["callsignStr"] = "RESEE", ["latitude"] = 20.6075, ["longitude"] = -180 },</v>
      </c>
    </row>
    <row r="472" spans="1:8" ht="29.4" hidden="1" thickBot="1" x14ac:dyDescent="0.35">
      <c r="A472" s="4" t="s">
        <v>1334</v>
      </c>
      <c r="B472" s="4" t="s">
        <v>394</v>
      </c>
      <c r="C472" s="4" t="s">
        <v>1335</v>
      </c>
      <c r="D472" t="str">
        <f t="shared" si="36"/>
        <v>84-14-45.2200N</v>
      </c>
      <c r="E472" t="str">
        <f t="shared" si="37"/>
        <v>141-00-00.0000W</v>
      </c>
      <c r="F472">
        <f t="shared" si="38"/>
        <v>84.245894444444446</v>
      </c>
      <c r="G472">
        <f t="shared" si="39"/>
        <v>-141</v>
      </c>
      <c r="H472" s="3" t="str">
        <f t="shared" si="40"/>
        <v>[658] = {["comment"] = "84-14-45.2200N 141-00-00.0000W", ["callsignStr"] = "RESUM", ["latitude"] = 84.2458944444444, ["longitude"] = -141 },</v>
      </c>
    </row>
    <row r="473" spans="1:8" ht="29.4" thickBot="1" x14ac:dyDescent="0.35">
      <c r="A473" s="4" t="s">
        <v>1336</v>
      </c>
      <c r="B473" s="4" t="s">
        <v>394</v>
      </c>
      <c r="C473" s="4" t="s">
        <v>1337</v>
      </c>
      <c r="D473" t="str">
        <f t="shared" si="36"/>
        <v>17-11-49.0000N</v>
      </c>
      <c r="E473" t="str">
        <f t="shared" si="37"/>
        <v>142-49-12.0000E</v>
      </c>
      <c r="F473">
        <f t="shared" si="38"/>
        <v>17.196944444444444</v>
      </c>
      <c r="G473">
        <f t="shared" si="39"/>
        <v>142.82</v>
      </c>
      <c r="H473" s="3" t="str">
        <f t="shared" si="40"/>
        <v>[659] = {["comment"] = "17-11-49.0000N 142-49-12.0000E", ["callsignStr"] = "RICHH", ["latitude"] = 17.1969444444444, ["longitude"] = 142.82 },</v>
      </c>
    </row>
    <row r="474" spans="1:8" ht="29.4" thickBot="1" x14ac:dyDescent="0.35">
      <c r="A474" s="4" t="s">
        <v>1338</v>
      </c>
      <c r="B474" s="4" t="s">
        <v>394</v>
      </c>
      <c r="C474" s="4" t="s">
        <v>1339</v>
      </c>
      <c r="D474" t="str">
        <f t="shared" si="36"/>
        <v>16-04-06.0000N</v>
      </c>
      <c r="E474" t="str">
        <f t="shared" si="37"/>
        <v>142-25-00.0000E</v>
      </c>
      <c r="F474">
        <f t="shared" si="38"/>
        <v>16.068333333333332</v>
      </c>
      <c r="G474">
        <f t="shared" si="39"/>
        <v>142.41666666666666</v>
      </c>
      <c r="H474" s="3" t="str">
        <f t="shared" si="40"/>
        <v>[660] = {["comment"] = "16-04-06.0000N 142-25-00.0000E", ["callsignStr"] = "RIDLL", ["latitude"] = 16.0683333333333, ["longitude"] = 142.416666666667 },</v>
      </c>
    </row>
    <row r="475" spans="1:8" ht="29.4" hidden="1" thickBot="1" x14ac:dyDescent="0.35">
      <c r="A475" s="4" t="s">
        <v>1340</v>
      </c>
      <c r="B475" s="4" t="s">
        <v>394</v>
      </c>
      <c r="C475" s="4" t="s">
        <v>1341</v>
      </c>
      <c r="D475" t="str">
        <f t="shared" si="36"/>
        <v>21-00-00.0000N</v>
      </c>
      <c r="E475" t="str">
        <f t="shared" si="37"/>
        <v>154-08-12.0000E</v>
      </c>
      <c r="F475">
        <f t="shared" si="38"/>
        <v>21</v>
      </c>
      <c r="G475">
        <f t="shared" si="39"/>
        <v>154.13666666666666</v>
      </c>
      <c r="H475" s="3" t="str">
        <f t="shared" si="40"/>
        <v>[661] = {["comment"] = "21-00-00.0000N 154-08-12.0000E", ["callsignStr"] = "RISBA", ["latitude"] = 21, ["longitude"] = 154.136666666667 },</v>
      </c>
    </row>
    <row r="476" spans="1:8" ht="15" hidden="1" thickBot="1" x14ac:dyDescent="0.35">
      <c r="A476" s="4" t="s">
        <v>1342</v>
      </c>
      <c r="B476" s="4" t="s">
        <v>394</v>
      </c>
      <c r="C476" s="4" t="s">
        <v>1343</v>
      </c>
      <c r="D476" t="str">
        <f t="shared" si="36"/>
        <v>53-00-00.0000N</v>
      </c>
      <c r="E476" t="str">
        <f t="shared" si="37"/>
        <v>170-00-00.0000W</v>
      </c>
      <c r="F476">
        <f t="shared" si="38"/>
        <v>53</v>
      </c>
      <c r="G476">
        <f t="shared" si="39"/>
        <v>-170</v>
      </c>
      <c r="H476" s="3" t="str">
        <f t="shared" si="40"/>
        <v>[662] = {["comment"] = "53-00-00.0000N 170-00-00.0000W", ["callsignStr"] = "RIZON", ["latitude"] = 53, ["longitude"] = -170 },</v>
      </c>
    </row>
    <row r="477" spans="1:8" ht="15" hidden="1" thickBot="1" x14ac:dyDescent="0.35">
      <c r="A477" s="4" t="s">
        <v>1344</v>
      </c>
      <c r="B477" s="4" t="s">
        <v>394</v>
      </c>
      <c r="C477" s="4" t="s">
        <v>1345</v>
      </c>
      <c r="D477" t="str">
        <f t="shared" si="36"/>
        <v>52-00-00.0000N</v>
      </c>
      <c r="E477" t="str">
        <f t="shared" si="37"/>
        <v>170-00-00.0000W</v>
      </c>
      <c r="F477">
        <f t="shared" si="38"/>
        <v>52</v>
      </c>
      <c r="G477">
        <f t="shared" si="39"/>
        <v>-170</v>
      </c>
      <c r="H477" s="3" t="str">
        <f t="shared" si="40"/>
        <v>[663] = {["comment"] = "52-00-00.0000N 170-00-00.0000W", ["callsignStr"] = "ROBBN", ["latitude"] = 52, ["longitude"] = -170 },</v>
      </c>
    </row>
    <row r="478" spans="1:8" ht="29.4" hidden="1" thickBot="1" x14ac:dyDescent="0.35">
      <c r="A478" s="4" t="s">
        <v>1346</v>
      </c>
      <c r="B478" s="4" t="s">
        <v>394</v>
      </c>
      <c r="C478" s="4" t="s">
        <v>1347</v>
      </c>
      <c r="D478" t="str">
        <f t="shared" si="36"/>
        <v>31-56-31.5200N</v>
      </c>
      <c r="E478" t="str">
        <f t="shared" si="37"/>
        <v>120-16-06.3200W</v>
      </c>
      <c r="F478">
        <f t="shared" si="38"/>
        <v>31.94208888888889</v>
      </c>
      <c r="G478">
        <f t="shared" si="39"/>
        <v>-120.26842222222223</v>
      </c>
      <c r="H478" s="3" t="str">
        <f t="shared" si="40"/>
        <v>[664] = {["comment"] = "SXC*C*213.00/127.00 31-56-31.5200N 120-16-06.3200W", ["callsignStr"] = "ROSIN", ["latitude"] = 31.9420888888889, ["longitude"] = -120.268422222222 },</v>
      </c>
    </row>
    <row r="479" spans="1:8" ht="29.4" hidden="1" thickBot="1" x14ac:dyDescent="0.35">
      <c r="A479" s="4" t="s">
        <v>1348</v>
      </c>
      <c r="B479" s="4" t="s">
        <v>394</v>
      </c>
      <c r="C479" s="4" t="s">
        <v>1349</v>
      </c>
      <c r="D479" t="str">
        <f t="shared" si="36"/>
        <v>48-00-00.0000N</v>
      </c>
      <c r="E479" t="str">
        <f t="shared" si="37"/>
        <v>131-32-01.0000W</v>
      </c>
      <c r="F479">
        <f t="shared" si="38"/>
        <v>48</v>
      </c>
      <c r="G479">
        <f t="shared" si="39"/>
        <v>-131.5336111111111</v>
      </c>
      <c r="H479" s="3" t="str">
        <f t="shared" si="40"/>
        <v>[665] = {["comment"] = "48-00-00.0000N 131-32-01.0000W", ["callsignStr"] = "ROUKE", ["latitude"] = 48, ["longitude"] = -131.533611111111 },</v>
      </c>
    </row>
    <row r="480" spans="1:8" ht="29.4" hidden="1" thickBot="1" x14ac:dyDescent="0.35">
      <c r="A480" s="4" t="s">
        <v>1350</v>
      </c>
      <c r="B480" s="4" t="s">
        <v>394</v>
      </c>
      <c r="C480" s="4" t="s">
        <v>1351</v>
      </c>
      <c r="D480" t="str">
        <f t="shared" si="36"/>
        <v>37-14-02.2400N</v>
      </c>
      <c r="E480" t="str">
        <f t="shared" si="37"/>
        <v>124-07-49.5500W</v>
      </c>
      <c r="F480">
        <f t="shared" si="38"/>
        <v>37.233955555555553</v>
      </c>
      <c r="G480">
        <f t="shared" si="39"/>
        <v>-124.13043055555555</v>
      </c>
      <c r="H480" s="3" t="str">
        <f t="shared" si="40"/>
        <v>[666] = {["comment"] = "37-14-02.2400N 124-07-49.5500W", ["callsignStr"] = "ROVUE", ["latitude"] = 37.2339555555556, ["longitude"] = -124.130430555556 },</v>
      </c>
    </row>
    <row r="481" spans="1:8" ht="29.4" hidden="1" thickBot="1" x14ac:dyDescent="0.35">
      <c r="A481" s="4" t="s">
        <v>1352</v>
      </c>
      <c r="B481" s="4" t="s">
        <v>394</v>
      </c>
      <c r="C481" s="4" t="s">
        <v>1353</v>
      </c>
      <c r="D481" t="str">
        <f t="shared" si="36"/>
        <v>17-10-14.0000N</v>
      </c>
      <c r="E481" t="str">
        <f t="shared" si="37"/>
        <v>157-45-24.0000W</v>
      </c>
      <c r="F481">
        <f t="shared" si="38"/>
        <v>17.170555555555556</v>
      </c>
      <c r="G481">
        <f t="shared" si="39"/>
        <v>-157.75666666666666</v>
      </c>
      <c r="H481" s="3" t="str">
        <f t="shared" si="40"/>
        <v>[667] = {["comment"] = "17-10-14.0000N 157-45-24.0000W", ["callsignStr"] = "RUDEE", ["latitude"] = 17.1705555555556, ["longitude"] = -157.756666666667 },</v>
      </c>
    </row>
    <row r="482" spans="1:8" ht="29.4" hidden="1" thickBot="1" x14ac:dyDescent="0.35">
      <c r="A482" s="4" t="s">
        <v>1354</v>
      </c>
      <c r="B482" s="4" t="s">
        <v>394</v>
      </c>
      <c r="C482" s="4" t="s">
        <v>1355</v>
      </c>
      <c r="D482" t="str">
        <f t="shared" si="36"/>
        <v>00-00-00.0000N</v>
      </c>
      <c r="E482" t="str">
        <f t="shared" si="37"/>
        <v>148-49-42.0000E</v>
      </c>
      <c r="F482">
        <f t="shared" si="38"/>
        <v>0</v>
      </c>
      <c r="G482">
        <f t="shared" si="39"/>
        <v>148.82833333333332</v>
      </c>
      <c r="H482" s="3" t="str">
        <f t="shared" si="40"/>
        <v>[668] = {["comment"] = "00-00-00.0000N 148-49-42.0000E", ["callsignStr"] = "RUTUS", ["latitude"] = 0, ["longitude"] = 148.828333333333 },</v>
      </c>
    </row>
    <row r="483" spans="1:8" ht="15" hidden="1" thickBot="1" x14ac:dyDescent="0.35">
      <c r="A483" s="4" t="s">
        <v>1356</v>
      </c>
      <c r="B483" s="4" t="s">
        <v>394</v>
      </c>
      <c r="C483" s="4" t="s">
        <v>1357</v>
      </c>
      <c r="D483" t="str">
        <f t="shared" si="36"/>
        <v>57-00-00.0000N</v>
      </c>
      <c r="E483" t="str">
        <f t="shared" si="37"/>
        <v>175-00-00.0000W</v>
      </c>
      <c r="F483">
        <f t="shared" si="38"/>
        <v>57</v>
      </c>
      <c r="G483">
        <f t="shared" si="39"/>
        <v>-175</v>
      </c>
      <c r="H483" s="3" t="str">
        <f t="shared" si="40"/>
        <v>[669] = {["comment"] = "57-00-00.0000N 175-00-00.0000W", ["callsignStr"] = "SAJRO", ["latitude"] = 57, ["longitude"] = -175 },</v>
      </c>
    </row>
    <row r="484" spans="1:8" ht="29.4" hidden="1" thickBot="1" x14ac:dyDescent="0.35">
      <c r="A484" s="4" t="s">
        <v>1358</v>
      </c>
      <c r="B484" s="4" t="s">
        <v>394</v>
      </c>
      <c r="C484" s="4" t="s">
        <v>1359</v>
      </c>
      <c r="D484" t="str">
        <f t="shared" si="36"/>
        <v>07-07-30.0000N</v>
      </c>
      <c r="E484" t="str">
        <f t="shared" si="37"/>
        <v>150-00-00.0000W</v>
      </c>
      <c r="F484">
        <f t="shared" si="38"/>
        <v>7.125</v>
      </c>
      <c r="G484">
        <f t="shared" si="39"/>
        <v>-150</v>
      </c>
      <c r="H484" s="3" t="str">
        <f t="shared" si="40"/>
        <v>[670] = {["comment"] = "07-07-30.0000N 150-00-00.0000W", ["callsignStr"] = "SANTA", ["latitude"] = 7.125, ["longitude"] = -150 },</v>
      </c>
    </row>
    <row r="485" spans="1:8" ht="15" hidden="1" thickBot="1" x14ac:dyDescent="0.35">
      <c r="A485" s="4" t="s">
        <v>1360</v>
      </c>
      <c r="B485" s="4" t="s">
        <v>394</v>
      </c>
      <c r="C485" s="4" t="s">
        <v>1361</v>
      </c>
      <c r="D485" t="str">
        <f t="shared" si="36"/>
        <v>56-00-00.0000N</v>
      </c>
      <c r="E485" t="str">
        <f t="shared" si="37"/>
        <v>175-00-00.0000W</v>
      </c>
      <c r="F485">
        <f t="shared" si="38"/>
        <v>56</v>
      </c>
      <c r="G485">
        <f t="shared" si="39"/>
        <v>-175</v>
      </c>
      <c r="H485" s="3" t="str">
        <f t="shared" si="40"/>
        <v>[671] = {["comment"] = "56-00-00.0000N 175-00-00.0000W", ["callsignStr"] = "SAWIN", ["latitude"] = 56, ["longitude"] = -175 },</v>
      </c>
    </row>
    <row r="486" spans="1:8" ht="29.4" hidden="1" thickBot="1" x14ac:dyDescent="0.35">
      <c r="A486" s="4" t="s">
        <v>1362</v>
      </c>
      <c r="B486" s="4" t="s">
        <v>394</v>
      </c>
      <c r="C486" s="4" t="s">
        <v>1363</v>
      </c>
      <c r="D486" t="str">
        <f t="shared" si="36"/>
        <v>54-14-56.4000N</v>
      </c>
      <c r="E486" t="str">
        <f t="shared" si="37"/>
        <v>140-00-00.0000W</v>
      </c>
      <c r="F486">
        <f t="shared" si="38"/>
        <v>54.249000000000002</v>
      </c>
      <c r="G486">
        <f t="shared" si="39"/>
        <v>-140</v>
      </c>
      <c r="H486" s="3" t="str">
        <f t="shared" si="40"/>
        <v>[672] = {["comment"] = "54-14-56.4000N 140-00-00.0000W", ["callsignStr"] = "SAYNT", ["latitude"] = 54.249, ["longitude"] = -140 },</v>
      </c>
    </row>
    <row r="487" spans="1:8" ht="29.4" hidden="1" thickBot="1" x14ac:dyDescent="0.35">
      <c r="A487" s="4" t="s">
        <v>1364</v>
      </c>
      <c r="B487" s="4" t="s">
        <v>394</v>
      </c>
      <c r="C487" s="4" t="s">
        <v>1365</v>
      </c>
      <c r="D487" t="str">
        <f t="shared" si="36"/>
        <v>20-41-49.0000N</v>
      </c>
      <c r="E487" t="str">
        <f t="shared" si="37"/>
        <v>151-01-09.0000W</v>
      </c>
      <c r="F487">
        <f t="shared" si="38"/>
        <v>20.696944444444444</v>
      </c>
      <c r="G487">
        <f t="shared" si="39"/>
        <v>-151.01916666666668</v>
      </c>
      <c r="H487" s="3" t="str">
        <f t="shared" si="40"/>
        <v>[673] = {["comment"] = "20-41-49.0000N 151-01-09.0000W", ["callsignStr"] = "SAYTO", ["latitude"] = 20.6969444444444, ["longitude"] = -151.019166666667 },</v>
      </c>
    </row>
    <row r="488" spans="1:8" ht="29.4" hidden="1" thickBot="1" x14ac:dyDescent="0.35">
      <c r="A488" s="4" t="s">
        <v>1366</v>
      </c>
      <c r="B488" s="4" t="s">
        <v>394</v>
      </c>
      <c r="C488" s="4" t="s">
        <v>1367</v>
      </c>
      <c r="D488" t="str">
        <f t="shared" si="36"/>
        <v>20-15-22.7000N</v>
      </c>
      <c r="E488" t="str">
        <f t="shared" si="37"/>
        <v>152-14-11.8000W</v>
      </c>
      <c r="F488">
        <f t="shared" si="38"/>
        <v>20.256305555555556</v>
      </c>
      <c r="G488">
        <f t="shared" si="39"/>
        <v>-152.2366111111111</v>
      </c>
      <c r="H488" s="3" t="str">
        <f t="shared" si="40"/>
        <v>[674] = {["comment"] = "ITO*C*067.00/160.00 20-15-22.7000N 152-14-11.8000W", ["callsignStr"] = "SCOON", ["latitude"] = 20.2563055555556, ["longitude"] = -152.236611111111 },</v>
      </c>
    </row>
    <row r="489" spans="1:8" ht="29.4" hidden="1" thickBot="1" x14ac:dyDescent="0.35">
      <c r="A489" s="4" t="s">
        <v>1368</v>
      </c>
      <c r="B489" s="4" t="s">
        <v>394</v>
      </c>
      <c r="C489" s="4" t="s">
        <v>1369</v>
      </c>
      <c r="D489" t="str">
        <f t="shared" si="36"/>
        <v>45-30-25.6100N</v>
      </c>
      <c r="E489" t="str">
        <f t="shared" si="37"/>
        <v>126-43-02.8600W</v>
      </c>
      <c r="F489">
        <f t="shared" si="38"/>
        <v>45.507113888888888</v>
      </c>
      <c r="G489">
        <f t="shared" si="39"/>
        <v>-126.71746111111111</v>
      </c>
      <c r="H489" s="3" t="str">
        <f t="shared" si="40"/>
        <v>[675] = {["comment"] = "45-30-25.6100N 126-43-02.8600W", ["callsignStr"] = "SEDAR", ["latitude"] = 45.5071138888889, ["longitude"] = -126.717461111111 },</v>
      </c>
    </row>
    <row r="490" spans="1:8" ht="29.4" hidden="1" thickBot="1" x14ac:dyDescent="0.35">
      <c r="A490" s="4" t="s">
        <v>1370</v>
      </c>
      <c r="B490" s="4" t="s">
        <v>394</v>
      </c>
      <c r="C490" s="4" t="s">
        <v>1371</v>
      </c>
      <c r="D490" t="str">
        <f t="shared" si="36"/>
        <v>34-11-31.2400N</v>
      </c>
      <c r="E490" t="str">
        <f t="shared" si="37"/>
        <v>120-19-08.3400W</v>
      </c>
      <c r="F490">
        <f t="shared" si="38"/>
        <v>34.192011111111107</v>
      </c>
      <c r="G490">
        <f t="shared" si="39"/>
        <v>-120.31898333333334</v>
      </c>
      <c r="H490" s="3" t="str">
        <f t="shared" si="40"/>
        <v>[676] = {["comment"] = "34-11-31.2400N 120-19-08.3400W", ["callsignStr"] = "SERCO", ["latitude"] = 34.1920111111111, ["longitude"] = -120.318983333333 },</v>
      </c>
    </row>
    <row r="491" spans="1:8" ht="29.4" hidden="1" thickBot="1" x14ac:dyDescent="0.35">
      <c r="A491" s="4" t="s">
        <v>1372</v>
      </c>
      <c r="B491" s="4" t="s">
        <v>394</v>
      </c>
      <c r="C491" s="4" t="s">
        <v>1373</v>
      </c>
      <c r="D491" t="str">
        <f t="shared" si="36"/>
        <v>47-40-10.3470N</v>
      </c>
      <c r="E491" t="str">
        <f t="shared" si="37"/>
        <v>127-41-07.4700W</v>
      </c>
      <c r="F491">
        <f t="shared" si="38"/>
        <v>47.669540833333329</v>
      </c>
      <c r="G491">
        <f t="shared" si="39"/>
        <v>-127.68540833333334</v>
      </c>
      <c r="H491" s="3" t="str">
        <f t="shared" si="40"/>
        <v>[677] = {["comment"] = "47-40-10.3470N 127-41-07.4700W", ["callsignStr"] = "SHARI", ["latitude"] = 47.6695408333333, ["longitude"] = -127.685408333333 },</v>
      </c>
    </row>
    <row r="492" spans="1:8" ht="29.4" thickBot="1" x14ac:dyDescent="0.35">
      <c r="A492" s="4" t="s">
        <v>1374</v>
      </c>
      <c r="B492" s="4" t="s">
        <v>394</v>
      </c>
      <c r="C492" s="4" t="s">
        <v>1375</v>
      </c>
      <c r="D492" t="str">
        <f t="shared" si="36"/>
        <v>14-43-24.0000N</v>
      </c>
      <c r="E492" t="str">
        <f t="shared" si="37"/>
        <v>143-37-12.0000E</v>
      </c>
      <c r="F492">
        <f t="shared" si="38"/>
        <v>14.723333333333333</v>
      </c>
      <c r="G492">
        <f t="shared" si="39"/>
        <v>143.62</v>
      </c>
      <c r="H492" s="3" t="str">
        <f t="shared" si="40"/>
        <v>[678] = {["comment"] = "14-43-24.0000N 143-37-12.0000E", ["callsignStr"] = "SHAWS", ["latitude"] = 14.7233333333333, ["longitude"] = 143.62 },</v>
      </c>
    </row>
    <row r="493" spans="1:8" ht="29.4" hidden="1" thickBot="1" x14ac:dyDescent="0.35">
      <c r="A493" s="4" t="s">
        <v>1376</v>
      </c>
      <c r="B493" s="4" t="s">
        <v>394</v>
      </c>
      <c r="C493" s="4" t="s">
        <v>1377</v>
      </c>
      <c r="D493" t="str">
        <f t="shared" si="36"/>
        <v>40-00-23.0000N</v>
      </c>
      <c r="E493" t="str">
        <f t="shared" si="37"/>
        <v>127-00-00.0000W</v>
      </c>
      <c r="F493">
        <f t="shared" si="38"/>
        <v>40.006388888888885</v>
      </c>
      <c r="G493">
        <f t="shared" si="39"/>
        <v>-127</v>
      </c>
      <c r="H493" s="3" t="str">
        <f t="shared" si="40"/>
        <v>[679] = {["comment"] = "40-00-23.0000N 127-00-00.0000W", ["callsignStr"] = "SHENU", ["latitude"] = 40.0063888888889, ["longitude"] = -127 },</v>
      </c>
    </row>
    <row r="494" spans="1:8" ht="29.4" hidden="1" thickBot="1" x14ac:dyDescent="0.35">
      <c r="A494" s="4" t="s">
        <v>1378</v>
      </c>
      <c r="B494" s="4" t="s">
        <v>394</v>
      </c>
      <c r="C494" s="4" t="s">
        <v>1379</v>
      </c>
      <c r="D494" t="str">
        <f t="shared" si="36"/>
        <v>33-24-17.4900N</v>
      </c>
      <c r="E494" t="str">
        <f t="shared" si="37"/>
        <v>117-59-47.9000W</v>
      </c>
      <c r="F494">
        <f t="shared" si="38"/>
        <v>33.40485833333333</v>
      </c>
      <c r="G494">
        <f t="shared" si="39"/>
        <v>-117.9966388888889</v>
      </c>
      <c r="H494" s="3" t="str">
        <f t="shared" si="40"/>
        <v>[680] = {["comment"] = "33-24-17.4900N 117-59-47.9000W", ["callsignStr"] = "SHHOW", ["latitude"] = 33.4048583333333, ["longitude"] = -117.996638888889 },</v>
      </c>
    </row>
    <row r="495" spans="1:8" ht="29.4" hidden="1" thickBot="1" x14ac:dyDescent="0.35">
      <c r="A495" s="4" t="s">
        <v>1380</v>
      </c>
      <c r="B495" s="4" t="s">
        <v>394</v>
      </c>
      <c r="C495" s="4" t="s">
        <v>1381</v>
      </c>
      <c r="D495" t="str">
        <f t="shared" si="36"/>
        <v>21-01-27.9000N</v>
      </c>
      <c r="E495" t="str">
        <f t="shared" si="37"/>
        <v>157-35-11.6200W</v>
      </c>
      <c r="F495">
        <f t="shared" si="38"/>
        <v>21.024416666666667</v>
      </c>
      <c r="G495">
        <f t="shared" si="39"/>
        <v>-157.58656111111111</v>
      </c>
      <c r="H495" s="3" t="str">
        <f t="shared" si="40"/>
        <v>[681] = {["comment"] = "21-01-27.9000N 157-35-11.6200W", ["callsignStr"] = "SHLAE", ["latitude"] = 21.0244166666667, ["longitude"] = -157.586561111111 },</v>
      </c>
    </row>
    <row r="496" spans="1:8" ht="29.4" hidden="1" thickBot="1" x14ac:dyDescent="0.35">
      <c r="A496" s="4" t="s">
        <v>1382</v>
      </c>
      <c r="B496" s="4" t="s">
        <v>394</v>
      </c>
      <c r="C496" s="4" t="s">
        <v>1383</v>
      </c>
      <c r="D496" t="str">
        <f t="shared" si="36"/>
        <v>79-09-00.0000N</v>
      </c>
      <c r="E496" t="str">
        <f t="shared" si="37"/>
        <v>141-00-00.0000W</v>
      </c>
      <c r="F496">
        <f t="shared" si="38"/>
        <v>79.150000000000006</v>
      </c>
      <c r="G496">
        <f t="shared" si="39"/>
        <v>-141</v>
      </c>
      <c r="H496" s="3" t="str">
        <f t="shared" si="40"/>
        <v>[682] = {["comment"] = "79-09-00.0000N 141-00-00.0000W", ["callsignStr"] = "SHOUP", ["latitude"] = 79.15, ["longitude"] = -141 },</v>
      </c>
    </row>
    <row r="497" spans="1:8" ht="29.4" hidden="1" thickBot="1" x14ac:dyDescent="0.35">
      <c r="A497" s="4" t="s">
        <v>1384</v>
      </c>
      <c r="B497" s="4" t="s">
        <v>394</v>
      </c>
      <c r="C497" s="4" t="s">
        <v>1385</v>
      </c>
      <c r="D497" t="str">
        <f t="shared" si="36"/>
        <v>05-39-00.0000N</v>
      </c>
      <c r="E497" t="str">
        <f t="shared" si="37"/>
        <v>131-09-24.0000E</v>
      </c>
      <c r="F497">
        <f t="shared" si="38"/>
        <v>5.65</v>
      </c>
      <c r="G497">
        <f t="shared" si="39"/>
        <v>131.15666666666667</v>
      </c>
      <c r="H497" s="3" t="str">
        <f t="shared" si="40"/>
        <v>[683] = {["comment"] = "05-39-00.0000N 131-09-24.0000E", ["callsignStr"] = "SHREE", ["latitude"] = 5.65, ["longitude"] = 131.156666666667 },</v>
      </c>
    </row>
    <row r="498" spans="1:8" ht="15" hidden="1" thickBot="1" x14ac:dyDescent="0.35">
      <c r="A498" s="4" t="s">
        <v>1386</v>
      </c>
      <c r="B498" s="4" t="s">
        <v>394</v>
      </c>
      <c r="C498" s="4" t="s">
        <v>1387</v>
      </c>
      <c r="D498" t="str">
        <f t="shared" si="36"/>
        <v>55-00-00.0000N</v>
      </c>
      <c r="E498" t="str">
        <f t="shared" si="37"/>
        <v>175-00-00.0000W</v>
      </c>
      <c r="F498">
        <f t="shared" si="38"/>
        <v>55</v>
      </c>
      <c r="G498">
        <f t="shared" si="39"/>
        <v>-175</v>
      </c>
      <c r="H498" s="3" t="str">
        <f t="shared" si="40"/>
        <v>[684] = {["comment"] = "55-00-00.0000N 175-00-00.0000W", ["callsignStr"] = "SHUMA", ["latitude"] = 55, ["longitude"] = -175 },</v>
      </c>
    </row>
    <row r="499" spans="1:8" ht="15" hidden="1" thickBot="1" x14ac:dyDescent="0.35">
      <c r="A499" s="4" t="s">
        <v>1388</v>
      </c>
      <c r="B499" s="4" t="s">
        <v>394</v>
      </c>
      <c r="C499" s="4" t="s">
        <v>1389</v>
      </c>
      <c r="D499" t="str">
        <f t="shared" si="36"/>
        <v>54-00-00.0000N</v>
      </c>
      <c r="E499" t="str">
        <f t="shared" si="37"/>
        <v>175-00-00.0000W</v>
      </c>
      <c r="F499">
        <f t="shared" si="38"/>
        <v>54</v>
      </c>
      <c r="G499">
        <f t="shared" si="39"/>
        <v>-175</v>
      </c>
      <c r="H499" s="3" t="str">
        <f t="shared" si="40"/>
        <v>[685] = {["comment"] = "54-00-00.0000N 175-00-00.0000W", ["callsignStr"] = "SLEDS", ["latitude"] = 54, ["longitude"] = -175 },</v>
      </c>
    </row>
    <row r="500" spans="1:8" ht="29.4" hidden="1" thickBot="1" x14ac:dyDescent="0.35">
      <c r="A500" s="4" t="s">
        <v>1390</v>
      </c>
      <c r="B500" s="4" t="s">
        <v>394</v>
      </c>
      <c r="C500" s="4" t="s">
        <v>1391</v>
      </c>
      <c r="D500" t="str">
        <f t="shared" si="36"/>
        <v>48-18-46.0500N</v>
      </c>
      <c r="E500" t="str">
        <f t="shared" si="37"/>
        <v>125-15-02.7100W</v>
      </c>
      <c r="F500">
        <f t="shared" si="38"/>
        <v>48.312791666666662</v>
      </c>
      <c r="G500">
        <f t="shared" si="39"/>
        <v>-125.25075277777778</v>
      </c>
      <c r="H500" s="3" t="str">
        <f t="shared" si="40"/>
        <v>[686] = {["comment"] = "48-18-46.0500N 125-15-02.7100W", ["callsignStr"] = "SNASS", ["latitude"] = 48.3127916666667, ["longitude"] = -125.250752777778 },</v>
      </c>
    </row>
    <row r="501" spans="1:8" ht="29.4" hidden="1" thickBot="1" x14ac:dyDescent="0.35">
      <c r="A501" s="4" t="s">
        <v>1392</v>
      </c>
      <c r="B501" s="4" t="s">
        <v>394</v>
      </c>
      <c r="C501" s="4" t="s">
        <v>1393</v>
      </c>
      <c r="D501" t="str">
        <f t="shared" si="36"/>
        <v>34-08-22.2400N</v>
      </c>
      <c r="E501" t="str">
        <f t="shared" si="37"/>
        <v>120-58-38.7600W</v>
      </c>
      <c r="F501">
        <f t="shared" si="38"/>
        <v>34.139511111111112</v>
      </c>
      <c r="G501">
        <f t="shared" si="39"/>
        <v>-120.97743333333334</v>
      </c>
      <c r="H501" s="3" t="str">
        <f t="shared" si="40"/>
        <v>[687] = {["comment"] = "34-08-22.2400N 120-58-38.7600W", ["callsignStr"] = "SNAXX", ["latitude"] = 34.1395111111111, ["longitude"] = -120.977433333333 },</v>
      </c>
    </row>
    <row r="502" spans="1:8" ht="29.4" hidden="1" thickBot="1" x14ac:dyDescent="0.35">
      <c r="A502" s="4" t="s">
        <v>1394</v>
      </c>
      <c r="B502" s="4" t="s">
        <v>394</v>
      </c>
      <c r="C502" s="4" t="s">
        <v>1395</v>
      </c>
      <c r="D502" t="str">
        <f t="shared" si="36"/>
        <v>49-22-00.0000N</v>
      </c>
      <c r="E502" t="str">
        <f t="shared" si="37"/>
        <v>130-05-06.0000W</v>
      </c>
      <c r="F502">
        <f t="shared" si="38"/>
        <v>49.366666666666667</v>
      </c>
      <c r="G502">
        <f t="shared" si="39"/>
        <v>-130.08500000000001</v>
      </c>
      <c r="H502" s="3" t="str">
        <f t="shared" si="40"/>
        <v>[688] = {["comment"] = "49-22-00.0000N 130-05-06.0000W", ["callsignStr"] = "SPONJ", ["latitude"] = 49.3666666666667, ["longitude"] = -130.085 },</v>
      </c>
    </row>
    <row r="503" spans="1:8" ht="15" hidden="1" thickBot="1" x14ac:dyDescent="0.35">
      <c r="A503" s="4" t="s">
        <v>1396</v>
      </c>
      <c r="B503" s="4" t="s">
        <v>394</v>
      </c>
      <c r="C503" s="4" t="s">
        <v>1397</v>
      </c>
      <c r="D503" t="str">
        <f t="shared" si="36"/>
        <v>53-00-00.0000N</v>
      </c>
      <c r="E503" t="str">
        <f t="shared" si="37"/>
        <v>175-00-00.0000W</v>
      </c>
      <c r="F503">
        <f t="shared" si="38"/>
        <v>53</v>
      </c>
      <c r="G503">
        <f t="shared" si="39"/>
        <v>-175</v>
      </c>
      <c r="H503" s="3" t="str">
        <f t="shared" si="40"/>
        <v>[689] = {["comment"] = "53-00-00.0000N 175-00-00.0000W", ["callsignStr"] = "SPRUC", ["latitude"] = 53, ["longitude"] = -175 },</v>
      </c>
    </row>
    <row r="504" spans="1:8" ht="29.4" hidden="1" thickBot="1" x14ac:dyDescent="0.35">
      <c r="A504" s="4" t="s">
        <v>1398</v>
      </c>
      <c r="B504" s="4" t="s">
        <v>394</v>
      </c>
      <c r="C504" s="4" t="s">
        <v>1399</v>
      </c>
      <c r="D504" t="str">
        <f t="shared" si="36"/>
        <v>33-25-22.0000N</v>
      </c>
      <c r="E504" t="str">
        <f t="shared" si="37"/>
        <v>118-09-40.0000W</v>
      </c>
      <c r="F504">
        <f t="shared" si="38"/>
        <v>33.422777777777775</v>
      </c>
      <c r="G504">
        <f t="shared" si="39"/>
        <v>-118.16111111111111</v>
      </c>
      <c r="H504" s="3" t="str">
        <f t="shared" si="40"/>
        <v>[690] = {["comment"] = "33-25-22.0000N 118-09-40.0000W", ["callsignStr"] = "SPUNG", ["latitude"] = 33.4227777777778, ["longitude"] = -118.161111111111 },</v>
      </c>
    </row>
    <row r="505" spans="1:8" ht="29.4" hidden="1" thickBot="1" x14ac:dyDescent="0.35">
      <c r="A505" s="4" t="s">
        <v>1400</v>
      </c>
      <c r="B505" s="4" t="s">
        <v>394</v>
      </c>
      <c r="C505" s="4" t="s">
        <v>1401</v>
      </c>
      <c r="D505" t="str">
        <f t="shared" si="36"/>
        <v>06-59-12.0000N</v>
      </c>
      <c r="E505" t="str">
        <f t="shared" si="37"/>
        <v>165-15-18.0000E</v>
      </c>
      <c r="F505">
        <f t="shared" si="38"/>
        <v>6.9866666666666664</v>
      </c>
      <c r="G505">
        <f t="shared" si="39"/>
        <v>165.255</v>
      </c>
      <c r="H505" s="3" t="str">
        <f t="shared" si="40"/>
        <v>[691] = {["comment"] = "06-59-12.0000N 165-15-18.0000E", ["callsignStr"] = "STEFF", ["latitude"] = 6.98666666666667, ["longitude"] = 165.255 },</v>
      </c>
    </row>
    <row r="506" spans="1:8" ht="29.4" hidden="1" thickBot="1" x14ac:dyDescent="0.35">
      <c r="A506" s="4" t="s">
        <v>1402</v>
      </c>
      <c r="B506" s="4" t="s">
        <v>394</v>
      </c>
      <c r="C506" s="4" t="s">
        <v>1403</v>
      </c>
      <c r="D506" t="str">
        <f t="shared" si="36"/>
        <v>34-23-02.0000N</v>
      </c>
      <c r="E506" t="str">
        <f t="shared" si="37"/>
        <v>120-07-43.7000W</v>
      </c>
      <c r="F506">
        <f t="shared" si="38"/>
        <v>34.38388888888889</v>
      </c>
      <c r="G506">
        <f t="shared" si="39"/>
        <v>-120.12880555555554</v>
      </c>
      <c r="H506" s="3" t="str">
        <f t="shared" si="40"/>
        <v>[692] = {["comment"] = "VTU*D*272.00/56.04 RZS*C*233.13 34-23-02.0000N 120-07-43.7000W", ["callsignStr"] = "SUDDO", ["latitude"] = 34.3838888888889, ["longitude"] = -120.128805555556 },</v>
      </c>
    </row>
    <row r="507" spans="1:8" ht="29.4" hidden="1" thickBot="1" x14ac:dyDescent="0.35">
      <c r="A507" s="4" t="s">
        <v>1404</v>
      </c>
      <c r="B507" s="4" t="s">
        <v>394</v>
      </c>
      <c r="C507" s="4" t="s">
        <v>1405</v>
      </c>
      <c r="D507" t="str">
        <f t="shared" si="36"/>
        <v>37-18-09.5900N</v>
      </c>
      <c r="E507" t="str">
        <f t="shared" si="37"/>
        <v>123-48-46.8700W</v>
      </c>
      <c r="F507">
        <f t="shared" si="38"/>
        <v>37.302663888888887</v>
      </c>
      <c r="G507">
        <f t="shared" si="39"/>
        <v>-123.81301944444444</v>
      </c>
      <c r="H507" s="3" t="str">
        <f t="shared" si="40"/>
        <v>[693] = {["comment"] = "OAK*D*235.00/80.00 37-18-09.5900N 123-48-46.8700W", ["callsignStr"] = "SUPER", ["latitude"] = 37.3026638888889, ["longitude"] = -123.813019444444 },</v>
      </c>
    </row>
    <row r="508" spans="1:8" ht="29.4" hidden="1" thickBot="1" x14ac:dyDescent="0.35">
      <c r="A508" s="4" t="s">
        <v>1406</v>
      </c>
      <c r="B508" s="4" t="s">
        <v>394</v>
      </c>
      <c r="C508" s="4" t="s">
        <v>1407</v>
      </c>
      <c r="D508" t="str">
        <f t="shared" si="36"/>
        <v>21-26-10.5100N</v>
      </c>
      <c r="E508" t="str">
        <f t="shared" si="37"/>
        <v>157-25-22.9900W</v>
      </c>
      <c r="F508">
        <f t="shared" si="38"/>
        <v>21.436252777777778</v>
      </c>
      <c r="G508">
        <f t="shared" si="39"/>
        <v>-157.42305277777777</v>
      </c>
      <c r="H508" s="3" t="str">
        <f t="shared" si="40"/>
        <v>[694] = {["comment"] = "21-26-10.5100N 157-25-22.9900W", ["callsignStr"] = "SYMIN", ["latitude"] = 21.4362527777778, ["longitude"] = -157.423052777778 },</v>
      </c>
    </row>
    <row r="509" spans="1:8" ht="29.4" hidden="1" thickBot="1" x14ac:dyDescent="0.35">
      <c r="A509" s="4" t="s">
        <v>1408</v>
      </c>
      <c r="B509" s="4" t="s">
        <v>394</v>
      </c>
      <c r="C509" s="4" t="s">
        <v>1409</v>
      </c>
      <c r="D509" t="str">
        <f t="shared" si="36"/>
        <v>21-05-39.0000N</v>
      </c>
      <c r="E509" t="str">
        <f t="shared" si="37"/>
        <v>171-59-22.0000W</v>
      </c>
      <c r="F509">
        <f t="shared" si="38"/>
        <v>21.094166666666666</v>
      </c>
      <c r="G509">
        <f t="shared" si="39"/>
        <v>-171.98944444444444</v>
      </c>
      <c r="H509" s="3" t="str">
        <f t="shared" si="40"/>
        <v>[695] = {["comment"] = "21-05-39.0000N 171-59-22.0000W", ["callsignStr"] = "SYSTA", ["latitude"] = 21.0941666666667, ["longitude"] = -171.989444444444 },</v>
      </c>
    </row>
    <row r="510" spans="1:8" ht="29.4" hidden="1" thickBot="1" x14ac:dyDescent="0.35">
      <c r="A510" s="4" t="s">
        <v>1410</v>
      </c>
      <c r="B510" s="4" t="s">
        <v>394</v>
      </c>
      <c r="C510" s="4" t="s">
        <v>1411</v>
      </c>
      <c r="D510" t="str">
        <f t="shared" si="36"/>
        <v>21-55-28.0000N</v>
      </c>
      <c r="E510" t="str">
        <f t="shared" si="37"/>
        <v>162-45-28.7800W</v>
      </c>
      <c r="F510">
        <f t="shared" si="38"/>
        <v>21.924444444444447</v>
      </c>
      <c r="G510">
        <f t="shared" si="39"/>
        <v>-162.75799444444445</v>
      </c>
      <c r="H510" s="3" t="str">
        <f t="shared" si="40"/>
        <v>[696] = {["comment"] = "SOK*C*260.06/180.16 21-55-28.0000N 162-45-28.7800W", ["callsignStr"] = "SYVAD", ["latitude"] = 21.9244444444444, ["longitude"] = -162.757994444444 },</v>
      </c>
    </row>
    <row r="511" spans="1:8" ht="29.4" hidden="1" thickBot="1" x14ac:dyDescent="0.35">
      <c r="A511" s="4" t="s">
        <v>1412</v>
      </c>
      <c r="B511" s="4" t="s">
        <v>394</v>
      </c>
      <c r="C511" s="4" t="s">
        <v>1413</v>
      </c>
      <c r="D511" t="str">
        <f t="shared" si="36"/>
        <v>11-16-16.0000N</v>
      </c>
      <c r="E511" t="str">
        <f t="shared" si="37"/>
        <v>154-24-42.0000W</v>
      </c>
      <c r="F511">
        <f t="shared" si="38"/>
        <v>11.271111111111113</v>
      </c>
      <c r="G511">
        <f t="shared" si="39"/>
        <v>-154.41166666666666</v>
      </c>
      <c r="H511" s="3" t="str">
        <f t="shared" si="40"/>
        <v>[697] = {["comment"] = "11-16-16.0000N 154-24-42.0000W", ["callsignStr"] = "TAKIE", ["latitude"] = 11.2711111111111, ["longitude"] = -154.411666666667 },</v>
      </c>
    </row>
    <row r="512" spans="1:8" ht="29.4" hidden="1" thickBot="1" x14ac:dyDescent="0.35">
      <c r="A512" s="4" t="s">
        <v>1414</v>
      </c>
      <c r="B512" s="4" t="s">
        <v>394</v>
      </c>
      <c r="C512" s="4" t="s">
        <v>1415</v>
      </c>
      <c r="D512" t="str">
        <f t="shared" si="36"/>
        <v>36-59-13.4100N</v>
      </c>
      <c r="E512" t="str">
        <f t="shared" si="37"/>
        <v>122-50-41.6200W</v>
      </c>
      <c r="F512">
        <f t="shared" si="38"/>
        <v>36.987058333333337</v>
      </c>
      <c r="G512">
        <f t="shared" si="39"/>
        <v>-122.84489444444444</v>
      </c>
      <c r="H512" s="3" t="str">
        <f t="shared" si="40"/>
        <v>[698] = {["comment"] = "36-59-13.4100N 122-50-41.6200W", ["callsignStr"] = "TAPOC", ["latitude"] = 36.9870583333333, ["longitude"] = -122.844894444444 },</v>
      </c>
    </row>
    <row r="513" spans="1:8" ht="29.4" hidden="1" thickBot="1" x14ac:dyDescent="0.35">
      <c r="A513" s="4" t="s">
        <v>1416</v>
      </c>
      <c r="B513" s="4" t="s">
        <v>394</v>
      </c>
      <c r="C513" s="4" t="s">
        <v>1417</v>
      </c>
      <c r="D513" t="str">
        <f t="shared" si="36"/>
        <v>18-06-32.0000N</v>
      </c>
      <c r="E513" t="str">
        <f t="shared" si="37"/>
        <v>155-42-42.0000W</v>
      </c>
      <c r="F513">
        <f t="shared" si="38"/>
        <v>18.108888888888892</v>
      </c>
      <c r="G513">
        <f t="shared" si="39"/>
        <v>-155.71166666666664</v>
      </c>
      <c r="H513" s="3" t="str">
        <f t="shared" si="40"/>
        <v>[699] = {["comment"] = "18-06-32.0000N 155-42-42.0000W", ["callsignStr"] = "TARDE", ["latitude"] = 18.1088888888889, ["longitude"] = -155.711666666667 },</v>
      </c>
    </row>
    <row r="514" spans="1:8" ht="29.4" hidden="1" thickBot="1" x14ac:dyDescent="0.35">
      <c r="A514" s="4" t="s">
        <v>1418</v>
      </c>
      <c r="B514" s="4" t="s">
        <v>394</v>
      </c>
      <c r="C514" s="4" t="s">
        <v>1419</v>
      </c>
      <c r="D514" t="str">
        <f t="shared" si="36"/>
        <v>04-25-33.0000N</v>
      </c>
      <c r="E514" t="str">
        <f t="shared" si="37"/>
        <v>153-10-04.0000W</v>
      </c>
      <c r="F514">
        <f t="shared" si="38"/>
        <v>4.4258333333333333</v>
      </c>
      <c r="G514">
        <f t="shared" si="39"/>
        <v>-153.16777777777776</v>
      </c>
      <c r="H514" s="3" t="str">
        <f t="shared" si="40"/>
        <v>[700] = {["comment"] = "04-25-33.0000N 153-10-04.0000W", ["callsignStr"] = "TARPP", ["latitude"] = 4.42583333333333, ["longitude"] = -153.167777777778 },</v>
      </c>
    </row>
    <row r="515" spans="1:8" ht="29.4" thickBot="1" x14ac:dyDescent="0.35">
      <c r="A515" s="4" t="s">
        <v>1420</v>
      </c>
      <c r="B515" s="4" t="s">
        <v>394</v>
      </c>
      <c r="C515" s="4" t="s">
        <v>1421</v>
      </c>
      <c r="D515" t="str">
        <f t="shared" ref="D515:D572" si="41">findLatitude(C515)</f>
        <v>17-25-23.0000N</v>
      </c>
      <c r="E515" t="str">
        <f t="shared" ref="E515:E572" si="42">findLongitude(C515)</f>
        <v>146-31-05.0000E</v>
      </c>
      <c r="F515">
        <f t="shared" ref="F515:F572" si="43">VALUE(MID(D515,1,2))+VALUE(MID(D515,4,2))/60+VALUE(MID(D515,7,7))/(1*3600)</f>
        <v>17.423055555555557</v>
      </c>
      <c r="G515">
        <f t="shared" ref="G515:G572" si="44">(VALUE(MID(E515,1,3))+VALUE(MID(E515,5,2))/60+VALUE(MID(E515,8,7))/(1*3600))*IF(MID(E515,15,1)="E",1,-1)</f>
        <v>146.51805555555558</v>
      </c>
      <c r="H515" s="3" t="str">
        <f t="shared" ref="H515:H572" si="45">CONCATENATE("[",ROW()+$H$1-1,"] = {","[""comment""] = """,C515,""", ","[""callsignStr""] = """,A515,""", ","[""latitude""] = ",F515,", ","[""longitude""] = ",G515," },")</f>
        <v>[701] = {["comment"] = "17-25-23.0000N 146-31-05.0000E", ["callsignStr"] = "TEEDE", ["latitude"] = 17.4230555555556, ["longitude"] = 146.518055555556 },</v>
      </c>
    </row>
    <row r="516" spans="1:8" ht="29.4" thickBot="1" x14ac:dyDescent="0.35">
      <c r="A516" s="4" t="s">
        <v>1422</v>
      </c>
      <c r="B516" s="4" t="s">
        <v>394</v>
      </c>
      <c r="C516" s="4" t="s">
        <v>1423</v>
      </c>
      <c r="D516" t="str">
        <f t="shared" si="41"/>
        <v>21-00-00.0000N</v>
      </c>
      <c r="E516" t="str">
        <f t="shared" si="42"/>
        <v>145-11-48.0000E</v>
      </c>
      <c r="F516">
        <f t="shared" si="43"/>
        <v>21</v>
      </c>
      <c r="G516">
        <f t="shared" si="44"/>
        <v>145.19666666666666</v>
      </c>
      <c r="H516" s="3" t="str">
        <f t="shared" si="45"/>
        <v>[702] = {["comment"] = "21-00-00.0000N 145-11-48.0000E", ["callsignStr"] = "TEGOD", ["latitude"] = 21, ["longitude"] = 145.196666666667 },</v>
      </c>
    </row>
    <row r="517" spans="1:8" ht="29.4" hidden="1" thickBot="1" x14ac:dyDescent="0.35">
      <c r="A517" s="4" t="s">
        <v>1424</v>
      </c>
      <c r="B517" s="4" t="s">
        <v>394</v>
      </c>
      <c r="C517" s="4" t="s">
        <v>1425</v>
      </c>
      <c r="D517" t="str">
        <f t="shared" si="41"/>
        <v>02-25-00.0000S</v>
      </c>
      <c r="E517" t="str">
        <f t="shared" si="42"/>
        <v>151-57-00.0000W</v>
      </c>
      <c r="F517">
        <f t="shared" si="43"/>
        <v>2.4166666666666665</v>
      </c>
      <c r="G517">
        <f t="shared" si="44"/>
        <v>-151.94999999999999</v>
      </c>
      <c r="H517" s="3" t="str">
        <f t="shared" si="45"/>
        <v>[703] = {["comment"] = "02-25-00.0000S 151-57-00.0000W", ["callsignStr"] = "TENOR", ["latitude"] = 2.41666666666667, ["longitude"] = -151.95 },</v>
      </c>
    </row>
    <row r="518" spans="1:8" ht="29.4" hidden="1" thickBot="1" x14ac:dyDescent="0.35">
      <c r="A518" s="4" t="s">
        <v>1426</v>
      </c>
      <c r="B518" s="4" t="s">
        <v>394</v>
      </c>
      <c r="C518" s="4" t="s">
        <v>1427</v>
      </c>
      <c r="D518" t="str">
        <f t="shared" si="41"/>
        <v>19-17-46.5400N</v>
      </c>
      <c r="E518" t="str">
        <f t="shared" si="42"/>
        <v>166-19-40.6800E</v>
      </c>
      <c r="F518">
        <f t="shared" si="43"/>
        <v>19.296261111111114</v>
      </c>
      <c r="G518">
        <f t="shared" si="44"/>
        <v>166.32796666666667</v>
      </c>
      <c r="H518" s="3" t="str">
        <f t="shared" si="45"/>
        <v>[704] = {["comment"] = "AWK*C*266.00/17.00 19-17-46.5400N 166-19-40.6800E", ["callsignStr"] = "TERAA", ["latitude"] = 19.2962611111111, ["longitude"] = 166.327966666667 },</v>
      </c>
    </row>
    <row r="519" spans="1:8" ht="29.4" thickBot="1" x14ac:dyDescent="0.35">
      <c r="A519" s="4" t="s">
        <v>1428</v>
      </c>
      <c r="B519" s="4" t="s">
        <v>394</v>
      </c>
      <c r="C519" s="4" t="s">
        <v>1429</v>
      </c>
      <c r="D519" t="str">
        <f t="shared" si="41"/>
        <v>17-43-00.0000N</v>
      </c>
      <c r="E519" t="str">
        <f t="shared" si="42"/>
        <v>144-59-00.0000E</v>
      </c>
      <c r="F519">
        <f t="shared" si="43"/>
        <v>17.716666666666665</v>
      </c>
      <c r="G519">
        <f t="shared" si="44"/>
        <v>144.98333333333332</v>
      </c>
      <c r="H519" s="3" t="str">
        <f t="shared" si="45"/>
        <v>[705] = {["comment"] = "17-43-00.0000N 144-59-00.0000E", ["callsignStr"] = "TERYY", ["latitude"] = 17.7166666666667, ["longitude"] = 144.983333333333 },</v>
      </c>
    </row>
    <row r="520" spans="1:8" ht="29.4" hidden="1" thickBot="1" x14ac:dyDescent="0.35">
      <c r="A520" s="4" t="s">
        <v>1430</v>
      </c>
      <c r="B520" s="4" t="s">
        <v>394</v>
      </c>
      <c r="C520" s="4" t="s">
        <v>1431</v>
      </c>
      <c r="D520" t="str">
        <f t="shared" si="41"/>
        <v>23-56-36.4200N</v>
      </c>
      <c r="E520" t="str">
        <f t="shared" si="42"/>
        <v>160-45-48.6000W</v>
      </c>
      <c r="F520">
        <f t="shared" si="43"/>
        <v>23.943449999999999</v>
      </c>
      <c r="G520">
        <f t="shared" si="44"/>
        <v>-160.76349999999999</v>
      </c>
      <c r="H520" s="3" t="str">
        <f t="shared" si="45"/>
        <v>[706] = {["comment"] = "23-56-36.4200N 160-45-48.6000W", ["callsignStr"] = "THOMA", ["latitude"] = 23.94345, ["longitude"] = -160.7635 },</v>
      </c>
    </row>
    <row r="521" spans="1:8" ht="29.4" hidden="1" thickBot="1" x14ac:dyDescent="0.35">
      <c r="A521" s="4" t="s">
        <v>1432</v>
      </c>
      <c r="B521" s="4" t="s">
        <v>394</v>
      </c>
      <c r="C521" s="4" t="s">
        <v>1433</v>
      </c>
      <c r="D521" t="str">
        <f t="shared" si="41"/>
        <v>17-11-39.0000N</v>
      </c>
      <c r="E521" t="str">
        <f t="shared" si="42"/>
        <v>133-57-22.0000E</v>
      </c>
      <c r="F521">
        <f t="shared" si="43"/>
        <v>17.194166666666668</v>
      </c>
      <c r="G521">
        <f t="shared" si="44"/>
        <v>133.95611111111111</v>
      </c>
      <c r="H521" s="3" t="str">
        <f t="shared" si="45"/>
        <v>[707] = {["comment"] = "17-11-39.0000N 133-57-22.0000E", ["callsignStr"] = "TILLY", ["latitude"] = 17.1941666666667, ["longitude"] = 133.956111111111 },</v>
      </c>
    </row>
    <row r="522" spans="1:8" ht="15" hidden="1" thickBot="1" x14ac:dyDescent="0.35">
      <c r="A522" s="4" t="s">
        <v>1434</v>
      </c>
      <c r="B522" s="4" t="s">
        <v>394</v>
      </c>
      <c r="C522" s="4" t="s">
        <v>1435</v>
      </c>
      <c r="D522" t="str">
        <f t="shared" si="41"/>
        <v>07-00-00.0000N</v>
      </c>
      <c r="E522" t="str">
        <f t="shared" si="42"/>
        <v>137-00-00.0000E</v>
      </c>
      <c r="F522">
        <f t="shared" si="43"/>
        <v>7</v>
      </c>
      <c r="G522">
        <f t="shared" si="44"/>
        <v>137</v>
      </c>
      <c r="H522" s="3" t="str">
        <f t="shared" si="45"/>
        <v>[708] = {["comment"] = "07-00-00.0000N 137-00-00.0000E", ["callsignStr"] = "TNUGE", ["latitude"] = 7, ["longitude"] = 137 },</v>
      </c>
    </row>
    <row r="523" spans="1:8" ht="29.4" thickBot="1" x14ac:dyDescent="0.35">
      <c r="A523" s="4" t="s">
        <v>1436</v>
      </c>
      <c r="B523" s="4" t="s">
        <v>394</v>
      </c>
      <c r="C523" s="4" t="s">
        <v>1437</v>
      </c>
      <c r="D523" t="str">
        <f t="shared" si="41"/>
        <v>17-34-00.0000N</v>
      </c>
      <c r="E523" t="str">
        <f t="shared" si="42"/>
        <v>143-50-00.0000E</v>
      </c>
      <c r="F523">
        <f t="shared" si="43"/>
        <v>17.566666666666666</v>
      </c>
      <c r="G523">
        <f t="shared" si="44"/>
        <v>143.83333333333334</v>
      </c>
      <c r="H523" s="3" t="str">
        <f t="shared" si="45"/>
        <v>[709] = {["comment"] = "17-34-00.0000N 143-50-00.0000E", ["callsignStr"] = "TOESS", ["latitude"] = 17.5666666666667, ["longitude"] = 143.833333333333 },</v>
      </c>
    </row>
    <row r="524" spans="1:8" ht="29.4" hidden="1" thickBot="1" x14ac:dyDescent="0.35">
      <c r="A524" s="4" t="s">
        <v>1438</v>
      </c>
      <c r="B524" s="4" t="s">
        <v>394</v>
      </c>
      <c r="C524" s="4" t="s">
        <v>1439</v>
      </c>
      <c r="D524" t="str">
        <f t="shared" si="41"/>
        <v>35-23-17.3000N</v>
      </c>
      <c r="E524" t="str">
        <f t="shared" si="42"/>
        <v>121-09-02.0000W</v>
      </c>
      <c r="F524">
        <f t="shared" si="43"/>
        <v>35.388138888888889</v>
      </c>
      <c r="G524">
        <f t="shared" si="44"/>
        <v>-121.15055555555556</v>
      </c>
      <c r="H524" s="3" t="str">
        <f t="shared" si="45"/>
        <v>[710] = {["comment"] = "35-23-17.3000N 121-09-02.0000W", ["callsignStr"] = "TOKIO", ["latitude"] = 35.3881388888889, ["longitude"] = -121.150555555556 },</v>
      </c>
    </row>
    <row r="525" spans="1:8" ht="29.4" hidden="1" thickBot="1" x14ac:dyDescent="0.35">
      <c r="A525" s="4" t="s">
        <v>1440</v>
      </c>
      <c r="B525" s="4" t="s">
        <v>394</v>
      </c>
      <c r="C525" s="4" t="s">
        <v>1441</v>
      </c>
      <c r="D525" t="str">
        <f t="shared" si="41"/>
        <v>30-19-51.0000N</v>
      </c>
      <c r="E525" t="str">
        <f t="shared" si="42"/>
        <v>122-49-14.0000W</v>
      </c>
      <c r="F525">
        <f t="shared" si="43"/>
        <v>30.330833333333334</v>
      </c>
      <c r="G525">
        <f t="shared" si="44"/>
        <v>-122.82055555555556</v>
      </c>
      <c r="H525" s="3" t="str">
        <f t="shared" si="45"/>
        <v>[711] = {["comment"] = "30-19-51.0000N 122-49-14.0000W", ["callsignStr"] = "TONYS", ["latitude"] = 30.3308333333333, ["longitude"] = -122.820555555556 },</v>
      </c>
    </row>
    <row r="526" spans="1:8" ht="29.4" hidden="1" thickBot="1" x14ac:dyDescent="0.35">
      <c r="A526" s="4" t="s">
        <v>1442</v>
      </c>
      <c r="B526" s="4" t="s">
        <v>394</v>
      </c>
      <c r="C526" s="4" t="s">
        <v>1443</v>
      </c>
      <c r="D526" t="str">
        <f t="shared" si="41"/>
        <v>16-56-23.0000N</v>
      </c>
      <c r="E526" t="str">
        <f t="shared" si="42"/>
        <v>155-25-17.0000W</v>
      </c>
      <c r="F526">
        <f t="shared" si="43"/>
        <v>16.939722222222223</v>
      </c>
      <c r="G526">
        <f t="shared" si="44"/>
        <v>-155.42138888888888</v>
      </c>
      <c r="H526" s="3" t="str">
        <f t="shared" si="45"/>
        <v>[712] = {["comment"] = "16-56-23.0000N 155-25-17.0000W", ["callsignStr"] = "TOTOW", ["latitude"] = 16.9397222222222, ["longitude"] = -155.421388888889 },</v>
      </c>
    </row>
    <row r="527" spans="1:8" ht="29.4" hidden="1" thickBot="1" x14ac:dyDescent="0.35">
      <c r="A527" s="4" t="s">
        <v>1444</v>
      </c>
      <c r="B527" s="4" t="s">
        <v>394</v>
      </c>
      <c r="C527" s="4" t="s">
        <v>1445</v>
      </c>
      <c r="D527" t="str">
        <f t="shared" si="41"/>
        <v>37-07-30.0000N</v>
      </c>
      <c r="E527" t="str">
        <f t="shared" si="42"/>
        <v>122-57-50.0000W</v>
      </c>
      <c r="F527">
        <f t="shared" si="43"/>
        <v>37.125</v>
      </c>
      <c r="G527">
        <f t="shared" si="44"/>
        <v>-122.96388888888889</v>
      </c>
      <c r="H527" s="3" t="str">
        <f t="shared" si="45"/>
        <v>[713] = {["comment"] = "37-07-30.0000N 122-57-50.0000W", ["callsignStr"] = "TPCAT", ["latitude"] = 37.125, ["longitude"] = -122.963888888889 },</v>
      </c>
    </row>
    <row r="528" spans="1:8" ht="29.4" hidden="1" thickBot="1" x14ac:dyDescent="0.35">
      <c r="A528" s="4" t="s">
        <v>1446</v>
      </c>
      <c r="B528" s="4" t="s">
        <v>394</v>
      </c>
      <c r="C528" s="4" t="s">
        <v>1447</v>
      </c>
      <c r="D528" t="str">
        <f t="shared" si="41"/>
        <v>40-09-05.0000N</v>
      </c>
      <c r="E528" t="str">
        <f t="shared" si="42"/>
        <v>127-00-00.0000W</v>
      </c>
      <c r="F528">
        <f t="shared" si="43"/>
        <v>40.151388888888889</v>
      </c>
      <c r="G528">
        <f t="shared" si="44"/>
        <v>-127</v>
      </c>
      <c r="H528" s="3" t="str">
        <f t="shared" si="45"/>
        <v>[714] = {["comment"] = "40-09-05.0000N 127-00-00.0000W", ["callsignStr"] = "TRYSH", ["latitude"] = 40.1513888888889, ["longitude"] = -127 },</v>
      </c>
    </row>
    <row r="529" spans="1:8" ht="29.4" hidden="1" thickBot="1" x14ac:dyDescent="0.35">
      <c r="A529" s="4" t="s">
        <v>1448</v>
      </c>
      <c r="B529" s="4" t="s">
        <v>394</v>
      </c>
      <c r="C529" s="4" t="s">
        <v>1449</v>
      </c>
      <c r="D529" t="str">
        <f t="shared" si="41"/>
        <v>22-46-34.0000N</v>
      </c>
      <c r="E529" t="str">
        <f t="shared" si="42"/>
        <v>156-13-57.0000W</v>
      </c>
      <c r="F529">
        <f t="shared" si="43"/>
        <v>22.77611111111111</v>
      </c>
      <c r="G529">
        <f t="shared" si="44"/>
        <v>-156.23250000000002</v>
      </c>
      <c r="H529" s="3" t="str">
        <f t="shared" si="45"/>
        <v>[715] = {["comment"] = "22-46-34.0000N 156-13-57.0000W", ["callsignStr"] = "UNADY", ["latitude"] = 22.7761111111111, ["longitude"] = -156.2325 },</v>
      </c>
    </row>
    <row r="530" spans="1:8" ht="29.4" hidden="1" thickBot="1" x14ac:dyDescent="0.35">
      <c r="A530" s="4" t="s">
        <v>1450</v>
      </c>
      <c r="B530" s="4" t="s">
        <v>394</v>
      </c>
      <c r="C530" s="4" t="s">
        <v>1451</v>
      </c>
      <c r="D530" t="str">
        <f t="shared" si="41"/>
        <v>40-17-56.0000N</v>
      </c>
      <c r="E530" t="str">
        <f t="shared" si="42"/>
        <v>127-00-00.0000W</v>
      </c>
      <c r="F530">
        <f t="shared" si="43"/>
        <v>40.298888888888889</v>
      </c>
      <c r="G530">
        <f t="shared" si="44"/>
        <v>-127</v>
      </c>
      <c r="H530" s="3" t="str">
        <f t="shared" si="45"/>
        <v>[716] = {["comment"] = "40-17-56.0000N 127-00-00.0000W", ["callsignStr"] = "UNVER", ["latitude"] = 40.2988888888889, ["longitude"] = -127 },</v>
      </c>
    </row>
    <row r="531" spans="1:8" ht="29.4" hidden="1" thickBot="1" x14ac:dyDescent="0.35">
      <c r="A531" s="4" t="s">
        <v>1452</v>
      </c>
      <c r="B531" s="4" t="s">
        <v>394</v>
      </c>
      <c r="C531" s="4" t="s">
        <v>1453</v>
      </c>
      <c r="D531" t="str">
        <f t="shared" si="41"/>
        <v>03-30-00.0000N</v>
      </c>
      <c r="E531" t="str">
        <f t="shared" si="42"/>
        <v>142-48-36.0000W</v>
      </c>
      <c r="F531">
        <f t="shared" si="43"/>
        <v>3.5</v>
      </c>
      <c r="G531">
        <f t="shared" si="44"/>
        <v>-142.81</v>
      </c>
      <c r="H531" s="3" t="str">
        <f t="shared" si="45"/>
        <v>[717] = {["comment"] = "03-30-00.0000N 142-48-36.0000W", ["callsignStr"] = "UPNAR", ["latitude"] = 3.5, ["longitude"] = -142.81 },</v>
      </c>
    </row>
    <row r="532" spans="1:8" ht="29.4" thickBot="1" x14ac:dyDescent="0.35">
      <c r="A532" s="4" t="s">
        <v>1454</v>
      </c>
      <c r="B532" s="4" t="s">
        <v>394</v>
      </c>
      <c r="C532" s="4" t="s">
        <v>1455</v>
      </c>
      <c r="D532" t="str">
        <f t="shared" si="41"/>
        <v>15-02-58.6400N</v>
      </c>
      <c r="E532" t="str">
        <f t="shared" si="42"/>
        <v>145-39-36.7800E</v>
      </c>
      <c r="F532">
        <f t="shared" si="43"/>
        <v>15.049622222222222</v>
      </c>
      <c r="G532">
        <f t="shared" si="44"/>
        <v>145.66021666666668</v>
      </c>
      <c r="H532" s="3" t="str">
        <f t="shared" si="45"/>
        <v>[718] = {["comment"] = "SN*R*216.23 GSN*LD/6.58 15-02-58.6400N 145-39-36.7800E", ["callsignStr"] = "UYHEW", ["latitude"] = 15.0496222222222, ["longitude"] = 145.660216666667 },</v>
      </c>
    </row>
    <row r="533" spans="1:8" ht="29.4" hidden="1" thickBot="1" x14ac:dyDescent="0.35">
      <c r="A533" s="4" t="s">
        <v>1456</v>
      </c>
      <c r="B533" s="4" t="s">
        <v>394</v>
      </c>
      <c r="C533" s="4" t="s">
        <v>1457</v>
      </c>
      <c r="D533" t="str">
        <f t="shared" si="41"/>
        <v>64-23-35.9600N</v>
      </c>
      <c r="E533" t="str">
        <f t="shared" si="42"/>
        <v>171-05-17.9900W</v>
      </c>
      <c r="F533">
        <f t="shared" si="43"/>
        <v>64.393322222222224</v>
      </c>
      <c r="G533">
        <f t="shared" si="44"/>
        <v>-171.08833055555556</v>
      </c>
      <c r="H533" s="3" t="str">
        <f t="shared" si="45"/>
        <v>[719] = {["comment"] = "64-23-35.9600N 171-05-17.9900W", ["callsignStr"] = "VALDA", ["latitude"] = 64.3933222222222, ["longitude"] = -171.088330555556 },</v>
      </c>
    </row>
    <row r="534" spans="1:8" ht="15" hidden="1" thickBot="1" x14ac:dyDescent="0.35">
      <c r="A534" s="4" t="s">
        <v>1458</v>
      </c>
      <c r="B534" s="4" t="s">
        <v>394</v>
      </c>
      <c r="C534" s="4" t="s">
        <v>1459</v>
      </c>
      <c r="D534" t="str">
        <f t="shared" si="41"/>
        <v>03-30-00.0000N</v>
      </c>
      <c r="E534" t="str">
        <f t="shared" si="42"/>
        <v>172-30-00.0000E</v>
      </c>
      <c r="F534">
        <f t="shared" si="43"/>
        <v>3.5</v>
      </c>
      <c r="G534">
        <f t="shared" si="44"/>
        <v>172.5</v>
      </c>
      <c r="H534" s="3" t="str">
        <f t="shared" si="45"/>
        <v>[720] = {["comment"] = "03-30-00.0000N 172-30-00.0000E", ["callsignStr"] = "VAVEE", ["latitude"] = 3.5, ["longitude"] = 172.5 },</v>
      </c>
    </row>
    <row r="535" spans="1:8" ht="29.4" hidden="1" thickBot="1" x14ac:dyDescent="0.35">
      <c r="A535" s="4" t="s">
        <v>1460</v>
      </c>
      <c r="B535" s="4" t="s">
        <v>394</v>
      </c>
      <c r="C535" s="4" t="s">
        <v>1461</v>
      </c>
      <c r="D535" t="str">
        <f t="shared" si="41"/>
        <v>40-37-31.0000N</v>
      </c>
      <c r="E535" t="str">
        <f t="shared" si="42"/>
        <v>127-00-00.0000W</v>
      </c>
      <c r="F535">
        <f t="shared" si="43"/>
        <v>40.625277777777775</v>
      </c>
      <c r="G535">
        <f t="shared" si="44"/>
        <v>-127</v>
      </c>
      <c r="H535" s="3" t="str">
        <f t="shared" si="45"/>
        <v>[721] = {["comment"] = "40-37-31.0000N 127-00-00.0000W", ["callsignStr"] = "VESPA", ["latitude"] = 40.6252777777778, ["longitude"] = -127 },</v>
      </c>
    </row>
    <row r="536" spans="1:8" ht="15" hidden="1" thickBot="1" x14ac:dyDescent="0.35">
      <c r="A536" s="4" t="s">
        <v>1462</v>
      </c>
      <c r="B536" s="4" t="s">
        <v>394</v>
      </c>
      <c r="C536" s="4" t="s">
        <v>1463</v>
      </c>
      <c r="D536" t="str">
        <f t="shared" si="41"/>
        <v>25-00-00.0000N</v>
      </c>
      <c r="E536" t="str">
        <f t="shared" si="42"/>
        <v>157-30-09.0000E</v>
      </c>
      <c r="F536">
        <f t="shared" si="43"/>
        <v>25</v>
      </c>
      <c r="G536">
        <f t="shared" si="44"/>
        <v>157.5025</v>
      </c>
      <c r="H536" s="3" t="str">
        <f t="shared" si="45"/>
        <v>[722] = {["comment"] = "25-00-00.0000N 157-30-09.0000E", ["callsignStr"] = "VILEY", ["latitude"] = 25, ["longitude"] = 157.5025 },</v>
      </c>
    </row>
    <row r="537" spans="1:8" ht="29.4" hidden="1" thickBot="1" x14ac:dyDescent="0.35">
      <c r="A537" s="4" t="s">
        <v>1464</v>
      </c>
      <c r="B537" s="4" t="s">
        <v>394</v>
      </c>
      <c r="C537" s="4" t="s">
        <v>1465</v>
      </c>
      <c r="D537" t="str">
        <f t="shared" si="41"/>
        <v>58-55-00.0000N</v>
      </c>
      <c r="E537" t="str">
        <f t="shared" si="42"/>
        <v>142-00-00.0000W</v>
      </c>
      <c r="F537">
        <f t="shared" si="43"/>
        <v>58.916666666666664</v>
      </c>
      <c r="G537">
        <f t="shared" si="44"/>
        <v>-142</v>
      </c>
      <c r="H537" s="3" t="str">
        <f t="shared" si="45"/>
        <v>[723] = {["comment"] = "58-55-00.0000N 142-00-00.0000W", ["callsignStr"] = "VVILT", ["latitude"] = 58.9166666666667, ["longitude"] = -142 },</v>
      </c>
    </row>
    <row r="538" spans="1:8" ht="29.4" hidden="1" thickBot="1" x14ac:dyDescent="0.35">
      <c r="A538" s="4" t="s">
        <v>1466</v>
      </c>
      <c r="B538" s="4" t="s">
        <v>394</v>
      </c>
      <c r="C538" s="4" t="s">
        <v>1467</v>
      </c>
      <c r="D538" t="str">
        <f t="shared" si="41"/>
        <v>01-16-14.0000S</v>
      </c>
      <c r="E538" t="str">
        <f t="shared" si="42"/>
        <v>164-00-00.0000W</v>
      </c>
      <c r="F538">
        <f t="shared" si="43"/>
        <v>1.2705555555555554</v>
      </c>
      <c r="G538">
        <f t="shared" si="44"/>
        <v>-164</v>
      </c>
      <c r="H538" s="3" t="str">
        <f t="shared" si="45"/>
        <v>[724] = {["comment"] = "01-16-14.0000S 164-00-00.0000W", ["callsignStr"] = "WACOS", ["latitude"] = 1.27055555555556, ["longitude"] = -164 },</v>
      </c>
    </row>
    <row r="539" spans="1:8" ht="29.4" hidden="1" thickBot="1" x14ac:dyDescent="0.35">
      <c r="A539" s="4" t="s">
        <v>1468</v>
      </c>
      <c r="B539" s="4" t="s">
        <v>394</v>
      </c>
      <c r="C539" s="4" t="s">
        <v>1469</v>
      </c>
      <c r="D539" t="str">
        <f t="shared" si="41"/>
        <v>16-50-21.4500N</v>
      </c>
      <c r="E539" t="str">
        <f t="shared" si="42"/>
        <v>169-17-09.0400W</v>
      </c>
      <c r="F539">
        <f t="shared" si="43"/>
        <v>16.839291666666664</v>
      </c>
      <c r="G539">
        <f t="shared" si="44"/>
        <v>-169.28584444444445</v>
      </c>
      <c r="H539" s="3" t="str">
        <f t="shared" si="45"/>
        <v>[725] = {["comment"] = "16-50-21.4500N 169-17-09.0400W", ["callsignStr"] = "WAHAA", ["latitude"] = 16.8392916666667, ["longitude"] = -169.285844444444 },</v>
      </c>
    </row>
    <row r="540" spans="1:8" ht="29.4" hidden="1" thickBot="1" x14ac:dyDescent="0.35">
      <c r="A540" s="4" t="s">
        <v>1470</v>
      </c>
      <c r="B540" s="4" t="s">
        <v>394</v>
      </c>
      <c r="C540" s="4" t="s">
        <v>1471</v>
      </c>
      <c r="D540" t="str">
        <f t="shared" si="41"/>
        <v>08-08-06.0000N</v>
      </c>
      <c r="E540" t="str">
        <f t="shared" si="42"/>
        <v>153-49-20.0000W</v>
      </c>
      <c r="F540">
        <f t="shared" si="43"/>
        <v>8.1349999999999998</v>
      </c>
      <c r="G540">
        <f t="shared" si="44"/>
        <v>-153.82222222222222</v>
      </c>
      <c r="H540" s="3" t="str">
        <f t="shared" si="45"/>
        <v>[726] = {["comment"] = "08-08-06.0000N 153-49-20.0000W", ["callsignStr"] = "WAYSE", ["latitude"] = 8.135, ["longitude"] = -153.822222222222 },</v>
      </c>
    </row>
    <row r="541" spans="1:8" ht="29.4" hidden="1" thickBot="1" x14ac:dyDescent="0.35">
      <c r="A541" s="4" t="s">
        <v>1472</v>
      </c>
      <c r="B541" s="4" t="s">
        <v>394</v>
      </c>
      <c r="C541" s="4" t="s">
        <v>1473</v>
      </c>
      <c r="D541" t="str">
        <f t="shared" si="41"/>
        <v>30-40-05.0000N</v>
      </c>
      <c r="E541" t="str">
        <f t="shared" si="42"/>
        <v>123-07-28.0000W</v>
      </c>
      <c r="F541">
        <f t="shared" si="43"/>
        <v>30.668055555555558</v>
      </c>
      <c r="G541">
        <f t="shared" si="44"/>
        <v>-123.12444444444444</v>
      </c>
      <c r="H541" s="3" t="str">
        <f t="shared" si="45"/>
        <v>[727] = {["comment"] = "30-40-05.0000N 123-07-28.0000W", ["callsignStr"] = "WEDES", ["latitude"] = 30.6680555555556, ["longitude"] = -123.124444444444 },</v>
      </c>
    </row>
    <row r="542" spans="1:8" ht="29.4" hidden="1" thickBot="1" x14ac:dyDescent="0.35">
      <c r="A542" s="4" t="s">
        <v>1474</v>
      </c>
      <c r="B542" s="4" t="s">
        <v>394</v>
      </c>
      <c r="C542" s="4" t="s">
        <v>1475</v>
      </c>
      <c r="D542" t="str">
        <f t="shared" si="41"/>
        <v>07-53-22.0000N</v>
      </c>
      <c r="E542" t="str">
        <f t="shared" si="42"/>
        <v>173-46-03.0000E</v>
      </c>
      <c r="F542">
        <f t="shared" si="43"/>
        <v>7.889444444444444</v>
      </c>
      <c r="G542">
        <f t="shared" si="44"/>
        <v>173.76750000000001</v>
      </c>
      <c r="H542" s="3" t="str">
        <f t="shared" si="45"/>
        <v>[728] = {["comment"] = "07-53-22.0000N 173-46-03.0000E", ["callsignStr"] = "WEGAD", ["latitude"] = 7.88944444444444, ["longitude"] = 173.7675 },</v>
      </c>
    </row>
    <row r="543" spans="1:8" ht="29.4" hidden="1" thickBot="1" x14ac:dyDescent="0.35">
      <c r="A543" s="4" t="s">
        <v>1476</v>
      </c>
      <c r="B543" s="4" t="s">
        <v>394</v>
      </c>
      <c r="C543" s="4" t="s">
        <v>1477</v>
      </c>
      <c r="D543" t="str">
        <f t="shared" si="41"/>
        <v>07-59-32.0000N</v>
      </c>
      <c r="E543" t="str">
        <f t="shared" si="42"/>
        <v>171-58-49.0000E</v>
      </c>
      <c r="F543">
        <f t="shared" si="43"/>
        <v>7.9922222222222219</v>
      </c>
      <c r="G543">
        <f t="shared" si="44"/>
        <v>171.98027777777779</v>
      </c>
      <c r="H543" s="3" t="str">
        <f t="shared" si="45"/>
        <v>[729] = {["comment"] = "07-59-32.0000N 171-58-49.0000E", ["callsignStr"] = "WEXUN", ["latitude"] = 7.99222222222222, ["longitude"] = 171.980277777778 },</v>
      </c>
    </row>
    <row r="544" spans="1:8" ht="29.4" hidden="1" thickBot="1" x14ac:dyDescent="0.35">
      <c r="A544" s="4" t="s">
        <v>1478</v>
      </c>
      <c r="B544" s="4" t="s">
        <v>394</v>
      </c>
      <c r="C544" s="4" t="s">
        <v>1479</v>
      </c>
      <c r="D544" t="str">
        <f t="shared" si="41"/>
        <v>03-30-00.0000N</v>
      </c>
      <c r="E544" t="str">
        <f t="shared" si="42"/>
        <v>138-15-18.0000W</v>
      </c>
      <c r="F544">
        <f t="shared" si="43"/>
        <v>3.5</v>
      </c>
      <c r="G544">
        <f t="shared" si="44"/>
        <v>-138.255</v>
      </c>
      <c r="H544" s="3" t="str">
        <f t="shared" si="45"/>
        <v>[730] = {["comment"] = "03-30-00.0000N 138-15-18.0000W", ["callsignStr"] = "WIBIG", ["latitude"] = 3.5, ["longitude"] = -138.255 },</v>
      </c>
    </row>
    <row r="545" spans="1:8" ht="29.4" hidden="1" thickBot="1" x14ac:dyDescent="0.35">
      <c r="A545" s="4" t="s">
        <v>1480</v>
      </c>
      <c r="B545" s="4" t="s">
        <v>394</v>
      </c>
      <c r="C545" s="4" t="s">
        <v>1481</v>
      </c>
      <c r="D545" t="str">
        <f t="shared" si="41"/>
        <v>46-49-31.8000N</v>
      </c>
      <c r="E545" t="str">
        <f t="shared" si="42"/>
        <v>127-17-56.0000W</v>
      </c>
      <c r="F545">
        <f t="shared" si="43"/>
        <v>46.825500000000005</v>
      </c>
      <c r="G545">
        <f t="shared" si="44"/>
        <v>-127.29888888888888</v>
      </c>
      <c r="H545" s="3" t="str">
        <f t="shared" si="45"/>
        <v>[731] = {["comment"] = "46-49-31.8000N 127-17-56.0000W", ["callsignStr"] = "WIDEN", ["latitude"] = 46.8255, ["longitude"] = -127.298888888889 },</v>
      </c>
    </row>
    <row r="546" spans="1:8" ht="29.4" hidden="1" thickBot="1" x14ac:dyDescent="0.35">
      <c r="A546" s="4" t="s">
        <v>1482</v>
      </c>
      <c r="B546" s="4" t="s">
        <v>394</v>
      </c>
      <c r="C546" s="4" t="s">
        <v>1483</v>
      </c>
      <c r="D546" t="str">
        <f t="shared" si="41"/>
        <v>19-08-32.0000N</v>
      </c>
      <c r="E546" t="str">
        <f t="shared" si="42"/>
        <v>154-29-00.0000W</v>
      </c>
      <c r="F546">
        <f t="shared" si="43"/>
        <v>19.142222222222223</v>
      </c>
      <c r="G546">
        <f t="shared" si="44"/>
        <v>-154.48333333333332</v>
      </c>
      <c r="H546" s="3" t="str">
        <f t="shared" si="45"/>
        <v>[732] = {["comment"] = "19-08-32.0000N 154-29-00.0000W", ["callsignStr"] = "WILYE", ["latitude"] = 19.1422222222222, ["longitude"] = -154.483333333333 },</v>
      </c>
    </row>
    <row r="547" spans="1:8" ht="29.4" hidden="1" thickBot="1" x14ac:dyDescent="0.35">
      <c r="A547" s="4" t="s">
        <v>1484</v>
      </c>
      <c r="B547" s="4" t="s">
        <v>394</v>
      </c>
      <c r="C547" s="4" t="s">
        <v>1485</v>
      </c>
      <c r="D547" t="str">
        <f t="shared" si="41"/>
        <v>11-32-00.0000N</v>
      </c>
      <c r="E547" t="str">
        <f t="shared" si="42"/>
        <v>150-00-00.0000W</v>
      </c>
      <c r="F547">
        <f t="shared" si="43"/>
        <v>11.533333333333333</v>
      </c>
      <c r="G547">
        <f t="shared" si="44"/>
        <v>-150</v>
      </c>
      <c r="H547" s="3" t="str">
        <f t="shared" si="45"/>
        <v>[733] = {["comment"] = "11-32-00.0000N 150-00-00.0000W", ["callsignStr"] = "WINTY", ["latitude"] = 11.5333333333333, ["longitude"] = -150 },</v>
      </c>
    </row>
    <row r="548" spans="1:8" ht="29.4" thickBot="1" x14ac:dyDescent="0.35">
      <c r="A548" s="4" t="s">
        <v>1486</v>
      </c>
      <c r="B548" s="4" t="s">
        <v>394</v>
      </c>
      <c r="C548" s="4" t="s">
        <v>1487</v>
      </c>
      <c r="D548" t="str">
        <f t="shared" si="41"/>
        <v>15-05-36.0000N</v>
      </c>
      <c r="E548" t="str">
        <f t="shared" si="42"/>
        <v>144-22-48.0000E</v>
      </c>
      <c r="F548">
        <f t="shared" si="43"/>
        <v>15.093333333333334</v>
      </c>
      <c r="G548">
        <f t="shared" si="44"/>
        <v>144.38</v>
      </c>
      <c r="H548" s="3" t="str">
        <f t="shared" si="45"/>
        <v>[734] = {["comment"] = "15-05-36.0000N 144-22-48.0000E", ["callsignStr"] = "WINZR", ["latitude"] = 15.0933333333333, ["longitude"] = 144.38 },</v>
      </c>
    </row>
    <row r="549" spans="1:8" ht="29.4" hidden="1" thickBot="1" x14ac:dyDescent="0.35">
      <c r="A549" s="4" t="s">
        <v>1488</v>
      </c>
      <c r="B549" s="4" t="s">
        <v>394</v>
      </c>
      <c r="C549" s="4" t="s">
        <v>1489</v>
      </c>
      <c r="D549" t="str">
        <f t="shared" si="41"/>
        <v>08-42-49.0000N</v>
      </c>
      <c r="E549" t="str">
        <f t="shared" si="42"/>
        <v>173-18-31.0000E</v>
      </c>
      <c r="F549">
        <f t="shared" si="43"/>
        <v>8.7136111111111099</v>
      </c>
      <c r="G549">
        <f t="shared" si="44"/>
        <v>173.30861111111113</v>
      </c>
      <c r="H549" s="3" t="str">
        <f t="shared" si="45"/>
        <v>[735] = {["comment"] = "08-42-49.0000N 173-18-31.0000E", ["callsignStr"] = "WOLEK", ["latitude"] = 8.71361111111111, ["longitude"] = 173.308611111111 },</v>
      </c>
    </row>
    <row r="550" spans="1:8" ht="15" hidden="1" thickBot="1" x14ac:dyDescent="0.35">
      <c r="A550" s="4" t="s">
        <v>1490</v>
      </c>
      <c r="B550" s="4" t="s">
        <v>394</v>
      </c>
      <c r="C550" s="4" t="s">
        <v>1491</v>
      </c>
      <c r="D550" t="str">
        <f t="shared" si="41"/>
        <v>05-00-00.0000S</v>
      </c>
      <c r="E550" t="str">
        <f t="shared" si="42"/>
        <v>168-01-12.0000W</v>
      </c>
      <c r="F550">
        <f t="shared" si="43"/>
        <v>5</v>
      </c>
      <c r="G550">
        <f t="shared" si="44"/>
        <v>-168.02</v>
      </c>
      <c r="H550" s="3" t="str">
        <f t="shared" si="45"/>
        <v>[736] = {["comment"] = "05-00-00.0000S 168-01-12.0000W", ["callsignStr"] = "WOOBY", ["latitude"] = 5, ["longitude"] = -168.02 },</v>
      </c>
    </row>
    <row r="551" spans="1:8" ht="29.4" hidden="1" thickBot="1" x14ac:dyDescent="0.35">
      <c r="A551" s="4" t="s">
        <v>1492</v>
      </c>
      <c r="B551" s="4" t="s">
        <v>394</v>
      </c>
      <c r="C551" s="4" t="s">
        <v>1493</v>
      </c>
      <c r="D551" t="str">
        <f t="shared" si="41"/>
        <v>21-53-30.6600N</v>
      </c>
      <c r="E551" t="str">
        <f t="shared" si="42"/>
        <v>157-21-08.4300W</v>
      </c>
      <c r="F551">
        <f t="shared" si="43"/>
        <v>21.891849999999998</v>
      </c>
      <c r="G551">
        <f t="shared" si="44"/>
        <v>-157.35234166666666</v>
      </c>
      <c r="H551" s="3" t="str">
        <f t="shared" si="45"/>
        <v>[737] = {["comment"] = "NGF*T*030.00/35.00 21-53-30.6600N 157-21-08.4300W", ["callsignStr"] = "WORDN", ["latitude"] = 21.89185, ["longitude"] = -157.352341666667 },</v>
      </c>
    </row>
    <row r="552" spans="1:8" ht="29.4" hidden="1" thickBot="1" x14ac:dyDescent="0.35">
      <c r="A552" s="4" t="s">
        <v>1494</v>
      </c>
      <c r="B552" s="4" t="s">
        <v>394</v>
      </c>
      <c r="C552" s="4" t="s">
        <v>1495</v>
      </c>
      <c r="D552" t="str">
        <f t="shared" si="41"/>
        <v>55-29-19.8000N</v>
      </c>
      <c r="E552" t="str">
        <f t="shared" si="42"/>
        <v>145-00-00.0000W</v>
      </c>
      <c r="F552">
        <f t="shared" si="43"/>
        <v>55.488833333333332</v>
      </c>
      <c r="G552">
        <f t="shared" si="44"/>
        <v>-145</v>
      </c>
      <c r="H552" s="3" t="str">
        <f t="shared" si="45"/>
        <v>[738] = {["comment"] = "55-29-19.8000N 145-00-00.0000W", ["callsignStr"] = "WORKN", ["latitude"] = 55.4888333333333, ["longitude"] = -145 },</v>
      </c>
    </row>
    <row r="553" spans="1:8" ht="29.4" hidden="1" thickBot="1" x14ac:dyDescent="0.35">
      <c r="A553" s="4" t="s">
        <v>1496</v>
      </c>
      <c r="B553" s="4" t="s">
        <v>394</v>
      </c>
      <c r="C553" s="4" t="s">
        <v>1497</v>
      </c>
      <c r="D553" t="str">
        <f t="shared" si="41"/>
        <v>05-00-00.0000N</v>
      </c>
      <c r="E553" t="str">
        <f t="shared" si="42"/>
        <v>157-15-06.0000W</v>
      </c>
      <c r="F553">
        <f t="shared" si="43"/>
        <v>5</v>
      </c>
      <c r="G553">
        <f t="shared" si="44"/>
        <v>-157.25166666666667</v>
      </c>
      <c r="H553" s="3" t="str">
        <f t="shared" si="45"/>
        <v>[739] = {["comment"] = "05-00-00.0000N 157-15-06.0000W", ["callsignStr"] = "WOSLU", ["latitude"] = 5, ["longitude"] = -157.251666666667 },</v>
      </c>
    </row>
    <row r="554" spans="1:8" ht="29.4" hidden="1" thickBot="1" x14ac:dyDescent="0.35">
      <c r="A554" s="4" t="s">
        <v>1498</v>
      </c>
      <c r="B554" s="4" t="s">
        <v>394</v>
      </c>
      <c r="C554" s="4" t="s">
        <v>1499</v>
      </c>
      <c r="D554" t="str">
        <f t="shared" si="41"/>
        <v>11-09-48.0000N</v>
      </c>
      <c r="E554" t="str">
        <f t="shared" si="42"/>
        <v>132-28-00.0000E</v>
      </c>
      <c r="F554">
        <f t="shared" si="43"/>
        <v>11.163333333333334</v>
      </c>
      <c r="G554">
        <f t="shared" si="44"/>
        <v>132.46666666666667</v>
      </c>
      <c r="H554" s="3" t="str">
        <f t="shared" si="45"/>
        <v>[740] = {["comment"] = "11-09-48.0000N 132-28-00.0000E", ["callsignStr"] = "WRNNR", ["latitude"] = 11.1633333333333, ["longitude"] = 132.466666666667 },</v>
      </c>
    </row>
    <row r="555" spans="1:8" ht="29.4" hidden="1" thickBot="1" x14ac:dyDescent="0.35">
      <c r="A555" s="4" t="s">
        <v>1500</v>
      </c>
      <c r="B555" s="4" t="s">
        <v>394</v>
      </c>
      <c r="C555" s="4" t="s">
        <v>1501</v>
      </c>
      <c r="D555" t="str">
        <f t="shared" si="41"/>
        <v>37-39-20.8700N</v>
      </c>
      <c r="E555" t="str">
        <f t="shared" si="42"/>
        <v>124-00-05.8800W</v>
      </c>
      <c r="F555">
        <f t="shared" si="43"/>
        <v>37.655797222222219</v>
      </c>
      <c r="G555">
        <f t="shared" si="44"/>
        <v>-124.00163333333333</v>
      </c>
      <c r="H555" s="3" t="str">
        <f t="shared" si="45"/>
        <v>[741] = {["comment"] = "37-39-20.8700N 124-00-05.8800W", ["callsignStr"] = "WUSES", ["latitude"] = 37.6557972222222, ["longitude"] = -124.001633333333 },</v>
      </c>
    </row>
    <row r="556" spans="1:8" ht="29.4" hidden="1" thickBot="1" x14ac:dyDescent="0.35">
      <c r="A556" s="4" t="s">
        <v>1502</v>
      </c>
      <c r="B556" s="4" t="s">
        <v>394</v>
      </c>
      <c r="C556" s="4" t="s">
        <v>1503</v>
      </c>
      <c r="D556" t="str">
        <f t="shared" si="41"/>
        <v>07-10-06.0000N</v>
      </c>
      <c r="E556" t="str">
        <f t="shared" si="42"/>
        <v>172-26-09.0000E</v>
      </c>
      <c r="F556">
        <f t="shared" si="43"/>
        <v>7.1683333333333339</v>
      </c>
      <c r="G556">
        <f t="shared" si="44"/>
        <v>172.43583333333333</v>
      </c>
      <c r="H556" s="3" t="str">
        <f t="shared" si="45"/>
        <v>[742] = {["comment"] = "07-10-06.0000N 172-26-09.0000E", ["callsignStr"] = "WUSET", ["latitude"] = 7.16833333333333, ["longitude"] = 172.435833333333 },</v>
      </c>
    </row>
    <row r="557" spans="1:8" ht="29.4" hidden="1" thickBot="1" x14ac:dyDescent="0.35">
      <c r="A557" s="4" t="s">
        <v>1504</v>
      </c>
      <c r="B557" s="4" t="s">
        <v>394</v>
      </c>
      <c r="C557" s="4" t="s">
        <v>1505</v>
      </c>
      <c r="D557" t="str">
        <f t="shared" si="41"/>
        <v>20-52-38.8900N</v>
      </c>
      <c r="E557" t="str">
        <f t="shared" si="42"/>
        <v>157-19-08.0700W</v>
      </c>
      <c r="F557">
        <f t="shared" si="43"/>
        <v>20.877469444444444</v>
      </c>
      <c r="G557">
        <f t="shared" si="44"/>
        <v>-157.31890833333333</v>
      </c>
      <c r="H557" s="3" t="str">
        <f t="shared" si="45"/>
        <v>[743] = {["comment"] = "20-52-38.8900N 157-19-08.0700W", ["callsignStr"] = "WYNAI", ["latitude"] = 20.8774694444444, ["longitude"] = -157.318908333333 },</v>
      </c>
    </row>
    <row r="558" spans="1:8" ht="15" hidden="1" thickBot="1" x14ac:dyDescent="0.35">
      <c r="A558" s="4" t="s">
        <v>1506</v>
      </c>
      <c r="B558" s="4" t="s">
        <v>394</v>
      </c>
      <c r="C558" s="4" t="s">
        <v>1507</v>
      </c>
      <c r="D558" t="str">
        <f t="shared" si="41"/>
        <v>10-00-00.0000N</v>
      </c>
      <c r="E558" t="str">
        <f t="shared" si="42"/>
        <v>136-30-00.0000E</v>
      </c>
      <c r="F558">
        <f t="shared" si="43"/>
        <v>10</v>
      </c>
      <c r="G558">
        <f t="shared" si="44"/>
        <v>136.5</v>
      </c>
      <c r="H558" s="3" t="str">
        <f t="shared" si="45"/>
        <v>[744] = {["comment"] = "10-00-00.0000N 136-30-00.0000E", ["callsignStr"] = "YATZY", ["latitude"] = 10, ["longitude"] = 136.5 },</v>
      </c>
    </row>
    <row r="559" spans="1:8" ht="29.4" hidden="1" thickBot="1" x14ac:dyDescent="0.35">
      <c r="A559" s="4" t="s">
        <v>1508</v>
      </c>
      <c r="B559" s="4" t="s">
        <v>394</v>
      </c>
      <c r="C559" s="4" t="s">
        <v>1509</v>
      </c>
      <c r="D559" t="str">
        <f t="shared" si="41"/>
        <v>14-10-00.0000N</v>
      </c>
      <c r="E559" t="str">
        <f t="shared" si="42"/>
        <v>135-00-00.0000E</v>
      </c>
      <c r="F559">
        <f t="shared" si="43"/>
        <v>14.166666666666666</v>
      </c>
      <c r="G559">
        <f t="shared" si="44"/>
        <v>135</v>
      </c>
      <c r="H559" s="3" t="str">
        <f t="shared" si="45"/>
        <v>[745] = {["comment"] = "14-10-00.0000N 135-00-00.0000E", ["callsignStr"] = "YELLO", ["latitude"] = 14.1666666666667, ["longitude"] = 135 },</v>
      </c>
    </row>
    <row r="560" spans="1:8" ht="29.4" hidden="1" thickBot="1" x14ac:dyDescent="0.35">
      <c r="A560" s="4" t="s">
        <v>1510</v>
      </c>
      <c r="B560" s="4" t="s">
        <v>394</v>
      </c>
      <c r="C560" s="4" t="s">
        <v>1511</v>
      </c>
      <c r="D560" t="str">
        <f t="shared" si="41"/>
        <v>64-27-18.1000N</v>
      </c>
      <c r="E560" t="str">
        <f t="shared" si="42"/>
        <v>168-52-43.2000W</v>
      </c>
      <c r="F560">
        <f t="shared" si="43"/>
        <v>64.455027777777786</v>
      </c>
      <c r="G560">
        <f t="shared" si="44"/>
        <v>-168.87866666666667</v>
      </c>
      <c r="H560" s="3" t="str">
        <f t="shared" si="45"/>
        <v>[746] = {["comment"] = "64-27-18.1000N 168-52-43.2000W", ["callsignStr"] = "YUREE", ["latitude"] = 64.4550277777778, ["longitude"] = -168.878666666667 },</v>
      </c>
    </row>
    <row r="561" spans="1:8" ht="29.4" hidden="1" thickBot="1" x14ac:dyDescent="0.35">
      <c r="A561" s="4" t="s">
        <v>1512</v>
      </c>
      <c r="B561" s="4" t="s">
        <v>394</v>
      </c>
      <c r="C561" s="4" t="s">
        <v>1513</v>
      </c>
      <c r="D561" t="str">
        <f t="shared" si="41"/>
        <v>39-47-34.0000N</v>
      </c>
      <c r="E561" t="str">
        <f t="shared" si="42"/>
        <v>138-07-26.0000W</v>
      </c>
      <c r="F561">
        <f t="shared" si="43"/>
        <v>39.792777777777779</v>
      </c>
      <c r="G561">
        <f t="shared" si="44"/>
        <v>-138.1238888888889</v>
      </c>
      <c r="H561" s="3" t="str">
        <f t="shared" si="45"/>
        <v>[747] = {["comment"] = "39-47-34.0000N 138-07-26.0000W", ["callsignStr"] = "ZAGER", ["latitude"] = 39.7927777777778, ["longitude"] = -138.123888888889 },</v>
      </c>
    </row>
    <row r="562" spans="1:8" ht="29.4" hidden="1" thickBot="1" x14ac:dyDescent="0.35">
      <c r="A562" s="4" t="s">
        <v>1514</v>
      </c>
      <c r="B562" s="4" t="s">
        <v>394</v>
      </c>
      <c r="C562" s="4" t="s">
        <v>1515</v>
      </c>
      <c r="D562" t="str">
        <f t="shared" si="41"/>
        <v>44-05-36.0000N</v>
      </c>
      <c r="E562" t="str">
        <f t="shared" si="42"/>
        <v>129-58-42.0000W</v>
      </c>
      <c r="F562">
        <f t="shared" si="43"/>
        <v>44.093333333333334</v>
      </c>
      <c r="G562">
        <f t="shared" si="44"/>
        <v>-129.97833333333332</v>
      </c>
      <c r="H562" s="3" t="str">
        <f t="shared" si="45"/>
        <v>[748] = {["comment"] = "44-05-36.0000N 129-58-42.0000W", ["callsignStr"] = "ZANNG", ["latitude"] = 44.0933333333333, ["longitude"] = -129.978333333333 },</v>
      </c>
    </row>
    <row r="563" spans="1:8" ht="29.4" hidden="1" thickBot="1" x14ac:dyDescent="0.35">
      <c r="A563" s="4" t="s">
        <v>1516</v>
      </c>
      <c r="B563" s="4" t="s">
        <v>394</v>
      </c>
      <c r="C563" s="4" t="s">
        <v>1517</v>
      </c>
      <c r="D563" t="str">
        <f t="shared" si="41"/>
        <v>33-34-57.3000N</v>
      </c>
      <c r="E563" t="str">
        <f t="shared" si="42"/>
        <v>118-00-18.5300W</v>
      </c>
      <c r="F563">
        <f t="shared" si="43"/>
        <v>33.582583333333339</v>
      </c>
      <c r="G563">
        <f t="shared" si="44"/>
        <v>-118.00514722222222</v>
      </c>
      <c r="H563" s="3" t="str">
        <f t="shared" si="45"/>
        <v>[749] = {["comment"] = "33-34-57.3000N 118-00-18.5300W", ["callsignStr"] = "ZAPPP", ["latitude"] = 33.5825833333333, ["longitude"] = -118.005147222222 },</v>
      </c>
    </row>
    <row r="564" spans="1:8" ht="29.4" hidden="1" thickBot="1" x14ac:dyDescent="0.35">
      <c r="A564" s="4" t="s">
        <v>1518</v>
      </c>
      <c r="B564" s="4" t="s">
        <v>394</v>
      </c>
      <c r="C564" s="4" t="s">
        <v>1519</v>
      </c>
      <c r="D564" t="str">
        <f t="shared" si="41"/>
        <v>30-12-56.0000N</v>
      </c>
      <c r="E564" t="str">
        <f t="shared" si="42"/>
        <v>151-07-02.0000W</v>
      </c>
      <c r="F564">
        <f t="shared" si="43"/>
        <v>30.215555555555554</v>
      </c>
      <c r="G564">
        <f t="shared" si="44"/>
        <v>-151.11722222222224</v>
      </c>
      <c r="H564" s="3" t="str">
        <f t="shared" si="45"/>
        <v>[750] = {["comment"] = "30-12-56.0000N 151-07-02.0000W", ["callsignStr"] = "ZEMOM", ["latitude"] = 30.2155555555556, ["longitude"] = -151.117222222222 },</v>
      </c>
    </row>
    <row r="565" spans="1:8" ht="29.4" hidden="1" thickBot="1" x14ac:dyDescent="0.35">
      <c r="A565" s="4" t="s">
        <v>1520</v>
      </c>
      <c r="B565" s="4" t="s">
        <v>394</v>
      </c>
      <c r="C565" s="4" t="s">
        <v>1521</v>
      </c>
      <c r="D565" t="str">
        <f t="shared" si="41"/>
        <v>56-28-21.0000N</v>
      </c>
      <c r="E565" t="str">
        <f t="shared" si="42"/>
        <v>150-00-00.0000W</v>
      </c>
      <c r="F565">
        <f t="shared" si="43"/>
        <v>56.472500000000004</v>
      </c>
      <c r="G565">
        <f t="shared" si="44"/>
        <v>-150</v>
      </c>
      <c r="H565" s="3" t="str">
        <f t="shared" si="45"/>
        <v>[751] = {["comment"] = "56-28-21.0000N 150-00-00.0000W", ["callsignStr"] = "ZENNA", ["latitude"] = 56.4725, ["longitude"] = -150 },</v>
      </c>
    </row>
    <row r="566" spans="1:8" ht="29.4" hidden="1" thickBot="1" x14ac:dyDescent="0.35">
      <c r="A566" s="4" t="s">
        <v>1522</v>
      </c>
      <c r="B566" s="4" t="s">
        <v>394</v>
      </c>
      <c r="C566" s="4" t="s">
        <v>1523</v>
      </c>
      <c r="D566" t="str">
        <f t="shared" si="41"/>
        <v>24-18-49.3000N</v>
      </c>
      <c r="E566" t="str">
        <f t="shared" si="42"/>
        <v>157-17-07.3000W</v>
      </c>
      <c r="F566">
        <f t="shared" si="43"/>
        <v>24.313694444444444</v>
      </c>
      <c r="G566">
        <f t="shared" si="44"/>
        <v>-157.28536111111111</v>
      </c>
      <c r="H566" s="3" t="str">
        <f t="shared" si="45"/>
        <v>[752] = {["comment"] = "MKK*C*347.05/190.00 24-18-49.3000N 157-17-07.3000W", ["callsignStr"] = "ZIGIE", ["latitude"] = 24.3136944444444, ["longitude"] = -157.285361111111 },</v>
      </c>
    </row>
    <row r="567" spans="1:8" ht="29.4" hidden="1" thickBot="1" x14ac:dyDescent="0.35">
      <c r="A567" s="4" t="s">
        <v>1524</v>
      </c>
      <c r="B567" s="4" t="s">
        <v>394</v>
      </c>
      <c r="C567" s="4" t="s">
        <v>1525</v>
      </c>
      <c r="D567" t="str">
        <f t="shared" si="41"/>
        <v>23-24-49.0000N</v>
      </c>
      <c r="E567" t="str">
        <f t="shared" si="42"/>
        <v>157-38-25.0000W</v>
      </c>
      <c r="F567">
        <f t="shared" si="43"/>
        <v>23.413611111111109</v>
      </c>
      <c r="G567">
        <f t="shared" si="44"/>
        <v>-157.64027777777778</v>
      </c>
      <c r="H567" s="3" t="str">
        <f t="shared" si="45"/>
        <v>[753] = {["comment"] = "23-24-49.0000N 157-38-25.0000W", ["callsignStr"] = "ZILAN", ["latitude"] = 23.4136111111111, ["longitude"] = -157.640277777778 },</v>
      </c>
    </row>
    <row r="568" spans="1:8" ht="29.4" hidden="1" thickBot="1" x14ac:dyDescent="0.35">
      <c r="A568" s="4" t="s">
        <v>1526</v>
      </c>
      <c r="B568" s="4" t="s">
        <v>394</v>
      </c>
      <c r="C568" s="4" t="s">
        <v>1527</v>
      </c>
      <c r="D568" t="str">
        <f t="shared" si="41"/>
        <v>35-00-00.0000N</v>
      </c>
      <c r="E568" t="str">
        <f t="shared" si="42"/>
        <v>145-14-32.0000W</v>
      </c>
      <c r="F568">
        <f t="shared" si="43"/>
        <v>35</v>
      </c>
      <c r="G568">
        <f t="shared" si="44"/>
        <v>-145.24222222222221</v>
      </c>
      <c r="H568" s="3" t="str">
        <f t="shared" si="45"/>
        <v>[754] = {["comment"] = "35-00-00.0000N 145-14-32.0000W", ["callsignStr"] = "ZINNO", ["latitude"] = 35, ["longitude"] = -145.242222222222 },</v>
      </c>
    </row>
    <row r="569" spans="1:8" ht="29.4" hidden="1" thickBot="1" x14ac:dyDescent="0.35">
      <c r="A569" s="4" t="s">
        <v>1528</v>
      </c>
      <c r="B569" s="4" t="s">
        <v>394</v>
      </c>
      <c r="C569" s="4" t="s">
        <v>1529</v>
      </c>
      <c r="D569" t="str">
        <f t="shared" si="41"/>
        <v>37-46-17.0500N</v>
      </c>
      <c r="E569" t="str">
        <f t="shared" si="42"/>
        <v>124-21-44.5700W</v>
      </c>
      <c r="F569">
        <f t="shared" si="43"/>
        <v>37.77140277777778</v>
      </c>
      <c r="G569">
        <f t="shared" si="44"/>
        <v>-124.36238055555555</v>
      </c>
      <c r="H569" s="3" t="str">
        <f t="shared" si="45"/>
        <v>[755] = {["comment"] = "37-46-17.0500N 124-21-44.5700W", ["callsignStr"] = "ZONSO", ["latitude"] = 37.7714027777778, ["longitude"] = -124.362380555556 },</v>
      </c>
    </row>
    <row r="570" spans="1:8" ht="29.4" hidden="1" thickBot="1" x14ac:dyDescent="0.35">
      <c r="A570" s="4" t="s">
        <v>1530</v>
      </c>
      <c r="B570" s="4" t="s">
        <v>394</v>
      </c>
      <c r="C570" s="4" t="s">
        <v>1531</v>
      </c>
      <c r="D570" t="str">
        <f t="shared" si="41"/>
        <v>21-43-48.9800N</v>
      </c>
      <c r="E570" t="str">
        <f t="shared" si="42"/>
        <v>157-13-29.7400W</v>
      </c>
      <c r="F570">
        <f t="shared" si="43"/>
        <v>21.730272222222222</v>
      </c>
      <c r="G570">
        <f t="shared" si="44"/>
        <v>-157.22492777777779</v>
      </c>
      <c r="H570" s="3" t="str">
        <f t="shared" si="45"/>
        <v>[756] = {["comment"] = "21-43-48.9800N 157-13-29.7400W", ["callsignStr"] = "ZORTA", ["latitude"] = 21.7302722222222, ["longitude"] = -157.224927777778 },</v>
      </c>
    </row>
    <row r="571" spans="1:8" ht="29.4" hidden="1" thickBot="1" x14ac:dyDescent="0.35">
      <c r="A571" s="4" t="s">
        <v>1532</v>
      </c>
      <c r="B571" s="4" t="s">
        <v>394</v>
      </c>
      <c r="C571" s="4" t="s">
        <v>1533</v>
      </c>
      <c r="D571" t="str">
        <f t="shared" si="41"/>
        <v>25-11-45.0000N</v>
      </c>
      <c r="E571" t="str">
        <f t="shared" si="42"/>
        <v>156-25-16.0000W</v>
      </c>
      <c r="F571">
        <f t="shared" si="43"/>
        <v>25.195833333333333</v>
      </c>
      <c r="G571">
        <f t="shared" si="44"/>
        <v>-156.42111111111109</v>
      </c>
      <c r="H571" s="3" t="str">
        <f t="shared" si="45"/>
        <v>[757] = {["comment"] = "25-11-45.0000N 156-25-16.0000W", ["callsignStr"] = "ZOULU", ["latitude"] = 25.1958333333333, ["longitude"] = -156.421111111111 },</v>
      </c>
    </row>
    <row r="572" spans="1:8" ht="29.4" hidden="1" thickBot="1" x14ac:dyDescent="0.35">
      <c r="A572" s="4" t="s">
        <v>1534</v>
      </c>
      <c r="B572" s="4" t="s">
        <v>394</v>
      </c>
      <c r="C572" s="4" t="s">
        <v>1535</v>
      </c>
      <c r="D572" t="str">
        <f t="shared" si="41"/>
        <v>32-37-53.2400N</v>
      </c>
      <c r="E572" t="str">
        <f t="shared" si="42"/>
        <v>117-14-44.9800W</v>
      </c>
      <c r="F572">
        <f t="shared" si="43"/>
        <v>32.631455555555554</v>
      </c>
      <c r="G572">
        <f t="shared" si="44"/>
        <v>-117.24582777777778</v>
      </c>
      <c r="H572" s="3" t="str">
        <f t="shared" si="45"/>
        <v>[758] = {["comment"] = "32-37-53.2400N 117-14-44.9800W", ["callsignStr"] = "ZZOOO", ["latitude"] = 32.6314555555556, ["longitude"] = -117.245827777778 },</v>
      </c>
    </row>
  </sheetData>
  <autoFilter ref="A1:H572">
    <filterColumn colId="5">
      <customFilters and="1">
        <customFilter operator="greaterThanOrEqual" val="11"/>
        <customFilter operator="lessThanOrEqual" val="22.08"/>
      </customFilters>
    </filterColumn>
    <filterColumn colId="6">
      <customFilters and="1">
        <customFilter operator="greaterThanOrEqual" val="136"/>
        <customFilter operator="lessThanOrEqual" val="149"/>
      </customFilters>
    </filterColumn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"/>
  <sheetViews>
    <sheetView workbookViewId="0">
      <selection activeCell="D12" sqref="D12"/>
    </sheetView>
  </sheetViews>
  <sheetFormatPr defaultRowHeight="14.4" x14ac:dyDescent="0.3"/>
  <cols>
    <col min="1" max="1" width="18.21875" customWidth="1"/>
    <col min="2" max="2" width="19.44140625" customWidth="1"/>
    <col min="3" max="3" width="29.44140625" customWidth="1"/>
    <col min="4" max="4" width="18.88671875" customWidth="1"/>
  </cols>
  <sheetData>
    <row r="1" spans="1:6" x14ac:dyDescent="0.3">
      <c r="A1" t="s">
        <v>0</v>
      </c>
      <c r="B1" t="s">
        <v>1</v>
      </c>
      <c r="D1" t="s">
        <v>2</v>
      </c>
      <c r="E1" t="s">
        <v>3</v>
      </c>
      <c r="F1" t="s">
        <v>4</v>
      </c>
    </row>
    <row r="2" spans="1:6" x14ac:dyDescent="0.3">
      <c r="A2" t="s">
        <v>5</v>
      </c>
    </row>
    <row r="3" spans="1:6" x14ac:dyDescent="0.3">
      <c r="A3" t="s">
        <v>6</v>
      </c>
      <c r="C3" t="s">
        <v>7</v>
      </c>
    </row>
    <row r="4" spans="1:6" x14ac:dyDescent="0.3">
      <c r="A4" t="s">
        <v>8</v>
      </c>
      <c r="B4" t="s">
        <v>9</v>
      </c>
      <c r="C4" t="s">
        <v>14</v>
      </c>
    </row>
    <row r="5" spans="1:6" x14ac:dyDescent="0.3">
      <c r="A5" t="s">
        <v>10</v>
      </c>
      <c r="B5" t="s">
        <v>11</v>
      </c>
      <c r="C5" t="s">
        <v>14</v>
      </c>
    </row>
    <row r="6" spans="1:6" x14ac:dyDescent="0.3">
      <c r="A6" t="s">
        <v>12</v>
      </c>
      <c r="B6" t="s">
        <v>13</v>
      </c>
      <c r="C6" t="s">
        <v>14</v>
      </c>
    </row>
    <row r="7" spans="1:6" x14ac:dyDescent="0.3">
      <c r="A7" t="s">
        <v>15</v>
      </c>
      <c r="B7" t="s">
        <v>16</v>
      </c>
      <c r="C7" t="s">
        <v>17</v>
      </c>
    </row>
    <row r="8" spans="1:6" x14ac:dyDescent="0.3">
      <c r="A8" t="s">
        <v>18</v>
      </c>
      <c r="B8" t="s">
        <v>19</v>
      </c>
      <c r="C8" t="s">
        <v>20</v>
      </c>
    </row>
    <row r="9" spans="1:6" x14ac:dyDescent="0.3">
      <c r="A9" t="s">
        <v>21</v>
      </c>
      <c r="B9" t="s">
        <v>22</v>
      </c>
    </row>
    <row r="10" spans="1:6" x14ac:dyDescent="0.3">
      <c r="A10" t="s">
        <v>23</v>
      </c>
      <c r="B10" t="s">
        <v>13</v>
      </c>
    </row>
    <row r="11" spans="1:6" x14ac:dyDescent="0.3">
      <c r="A11" t="s">
        <v>24</v>
      </c>
      <c r="B11" t="s">
        <v>25</v>
      </c>
    </row>
    <row r="12" spans="1:6" x14ac:dyDescent="0.3">
      <c r="A12" t="s">
        <v>26</v>
      </c>
      <c r="B12" t="s">
        <v>30</v>
      </c>
      <c r="C12" t="s">
        <v>27</v>
      </c>
      <c r="D12" s="1" t="s">
        <v>31</v>
      </c>
    </row>
    <row r="13" spans="1:6" x14ac:dyDescent="0.3">
      <c r="A13" t="s">
        <v>28</v>
      </c>
      <c r="B13" t="s">
        <v>29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86"/>
  <sheetViews>
    <sheetView topLeftCell="B1" workbookViewId="0">
      <selection activeCell="H1" sqref="H1:H1048576"/>
    </sheetView>
  </sheetViews>
  <sheetFormatPr defaultRowHeight="14.4" x14ac:dyDescent="0.3"/>
  <cols>
    <col min="1" max="1" width="5.88671875" bestFit="1" customWidth="1"/>
    <col min="2" max="2" width="14.5546875" customWidth="1"/>
    <col min="3" max="3" width="62.109375" customWidth="1"/>
    <col min="4" max="4" width="15.44140625" customWidth="1"/>
    <col min="5" max="5" width="16.21875" customWidth="1"/>
    <col min="7" max="7" width="13.5546875" customWidth="1"/>
    <col min="8" max="8" width="108.44140625" style="3" customWidth="1"/>
  </cols>
  <sheetData>
    <row r="1" spans="1:8" ht="15" thickBot="1" x14ac:dyDescent="0.35">
      <c r="H1" s="3">
        <v>0</v>
      </c>
    </row>
    <row r="2" spans="1:8" ht="29.4" thickBot="1" x14ac:dyDescent="0.35">
      <c r="A2" s="2" t="s">
        <v>32</v>
      </c>
      <c r="B2" s="2" t="s">
        <v>33</v>
      </c>
      <c r="C2" s="2" t="s">
        <v>34</v>
      </c>
      <c r="D2" t="str">
        <f>findLatitude(C2)</f>
        <v>13-37-25.5100N</v>
      </c>
      <c r="E2" t="str">
        <f>findLongitude(C2)</f>
        <v>143-01-52.1100E</v>
      </c>
      <c r="F2">
        <f>VALUE(MID(D2,1,2))+VALUE(MID(D2,4,2))/60+VALUE(MID(D2,7,7))/(1*3600)</f>
        <v>13.623752777777778</v>
      </c>
      <c r="G2">
        <f>VALUE(MID(E2,1,3))+VALUE(MID(E2,5,2))/60+VALUE(MID(E2,8,7))/(1*3600)</f>
        <v>143.03114166666668</v>
      </c>
      <c r="H2" s="3" t="str">
        <f>CONCATENATE("[",ROW()+$H$1-1,"] = {","[""comment""] = """,C2,""", ","[""callsignStr""] = """,A2,""", ","[""latitude""] = ",F2,", ","[""longitude""] = ",G2," },")</f>
        <v>[1] = {["comment"] = "UNZ*C*274.00/100.00 13-37-25.5100N 143-01-52.1100E", ["callsignStr"] = "ACRON", ["latitude"] = 13.6237527777778, ["longitude"] = 143.031141666667 },</v>
      </c>
    </row>
    <row r="3" spans="1:8" ht="29.4" thickBot="1" x14ac:dyDescent="0.35">
      <c r="A3" s="2" t="s">
        <v>28</v>
      </c>
      <c r="B3" s="2" t="s">
        <v>33</v>
      </c>
      <c r="C3" s="2" t="s">
        <v>35</v>
      </c>
      <c r="D3" t="str">
        <f t="shared" ref="D3:D66" si="0">findLatitude(C3)</f>
        <v>13-35-32.0100N</v>
      </c>
      <c r="E3" t="str">
        <f t="shared" ref="E3:E66" si="1">findLongitude(C3)</f>
        <v>144-57-18.2600E</v>
      </c>
      <c r="F3">
        <f t="shared" ref="F3:F66" si="2">VALUE(MID(D3,1,2))+VALUE(MID(D3,4,2))/60+VALUE(MID(D3,7,7))/(1*3600)</f>
        <v>13.592225000000001</v>
      </c>
      <c r="G3">
        <f t="shared" ref="G3:G66" si="3">VALUE(MID(E3,1,3))+VALUE(MID(E3,5,2))/60+VALUE(MID(E3,8,7))/(1*3600)</f>
        <v>144.95507222222221</v>
      </c>
      <c r="H3" s="3" t="str">
        <f t="shared" ref="H3:H66" si="4">CONCATENATE("[",ROW()+$H$1-1,"] = {","[""comment""] = """,C3,""", ","[""callsignStr""] = """,A3,""", ","[""latitude""] = ",F3,", ","[""longitude""] = ",G3," },")</f>
        <v>[2] = {["comment"] = "UAM*T* /0.50 PMY*LG*063.87 13-35-32.0100N 144-57-18.2600E", ["callsignStr"] = "ACUYU", ["latitude"] = 13.592225, ["longitude"] = 144.955072222222 },</v>
      </c>
    </row>
    <row r="4" spans="1:8" ht="29.4" thickBot="1" x14ac:dyDescent="0.35">
      <c r="A4" s="2" t="s">
        <v>36</v>
      </c>
      <c r="B4" s="2" t="s">
        <v>33</v>
      </c>
      <c r="C4" s="2" t="s">
        <v>37</v>
      </c>
      <c r="D4" t="str">
        <f t="shared" si="0"/>
        <v>13-34-20.9000N</v>
      </c>
      <c r="E4" t="str">
        <f t="shared" si="1"/>
        <v>144-58-15.0400E</v>
      </c>
      <c r="F4">
        <f t="shared" si="2"/>
        <v>13.572472222222222</v>
      </c>
      <c r="G4">
        <f t="shared" si="3"/>
        <v>144.97084444444445</v>
      </c>
      <c r="H4" s="3" t="str">
        <f t="shared" si="4"/>
        <v>[3] = {["comment"] = "AJA*R*060.51 UNZ*C* /15.57 13-34-20.9000N 144-58-15.0400E", ["callsignStr"] = "ADAYI", ["latitude"] = 13.5724722222222, ["longitude"] = 144.970844444444 },</v>
      </c>
    </row>
    <row r="5" spans="1:8" ht="29.4" thickBot="1" x14ac:dyDescent="0.35">
      <c r="A5" s="2" t="s">
        <v>38</v>
      </c>
      <c r="B5" s="2" t="s">
        <v>33</v>
      </c>
      <c r="C5" s="2" t="s">
        <v>39</v>
      </c>
      <c r="D5" t="str">
        <f t="shared" si="0"/>
        <v>13-26-29.0100N</v>
      </c>
      <c r="E5" t="str">
        <f t="shared" si="1"/>
        <v>144-42-07.2100E</v>
      </c>
      <c r="F5">
        <f t="shared" si="2"/>
        <v>13.441391666666666</v>
      </c>
      <c r="G5">
        <f t="shared" si="3"/>
        <v>144.70200277777778</v>
      </c>
      <c r="H5" s="3" t="str">
        <f t="shared" si="4"/>
        <v>[4] = {["comment"] = "UNZ*C*244.75/1.99 GUM*LD*246.95/7.28 13-26-29.0100N 144-42-07.2100E", ["callsignStr"] = "ADEDE", ["latitude"] = 13.4413916666667, ["longitude"] = 144.702002777778 },</v>
      </c>
    </row>
    <row r="6" spans="1:8" ht="29.4" thickBot="1" x14ac:dyDescent="0.35">
      <c r="A6" s="2" t="s">
        <v>40</v>
      </c>
      <c r="B6" s="2" t="s">
        <v>33</v>
      </c>
      <c r="C6" s="2" t="s">
        <v>41</v>
      </c>
      <c r="D6" t="str">
        <f t="shared" si="0"/>
        <v>13-27-26.9600N</v>
      </c>
      <c r="E6" t="str">
        <f t="shared" si="1"/>
        <v>144-41-23.4900E</v>
      </c>
      <c r="F6">
        <f t="shared" si="2"/>
        <v>13.457488888888888</v>
      </c>
      <c r="G6">
        <f t="shared" si="3"/>
        <v>144.68985833333335</v>
      </c>
      <c r="H6" s="3" t="str">
        <f t="shared" si="4"/>
        <v>[5] = {["comment"] = "UAM*T*240.00/17.00 13-27-26.9600N 144-41-23.4900E", ["callsignStr"] = "ADTIN", ["latitude"] = 13.4574888888889, ["longitude"] = 144.689858333333 },</v>
      </c>
    </row>
    <row r="7" spans="1:8" ht="29.4" thickBot="1" x14ac:dyDescent="0.35">
      <c r="A7" s="2" t="s">
        <v>42</v>
      </c>
      <c r="B7" s="2" t="s">
        <v>33</v>
      </c>
      <c r="C7" s="2" t="s">
        <v>43</v>
      </c>
      <c r="D7" t="str">
        <f t="shared" si="0"/>
        <v>13-29-04.8000N</v>
      </c>
      <c r="E7" t="str">
        <f t="shared" si="1"/>
        <v>144-47-47.6800E</v>
      </c>
      <c r="F7">
        <f t="shared" si="2"/>
        <v>13.484666666666666</v>
      </c>
      <c r="G7">
        <f t="shared" si="3"/>
        <v>144.79657777777777</v>
      </c>
      <c r="H7" s="3" t="str">
        <f t="shared" si="4"/>
        <v>[6] = {["comment"] = "13-29-04.8000N 144-47-47.6800E", ["callsignStr"] = "ALEYE", ["latitude"] = 13.4846666666667, ["longitude"] = 144.796577777778 },</v>
      </c>
    </row>
    <row r="8" spans="1:8" ht="29.4" thickBot="1" x14ac:dyDescent="0.35">
      <c r="A8" s="2" t="s">
        <v>44</v>
      </c>
      <c r="B8" s="2" t="s">
        <v>33</v>
      </c>
      <c r="C8" s="2" t="s">
        <v>45</v>
      </c>
      <c r="D8" t="str">
        <f t="shared" si="0"/>
        <v>12-46-01.6600N</v>
      </c>
      <c r="E8" t="str">
        <f t="shared" si="1"/>
        <v>143-33-38.5300E</v>
      </c>
      <c r="F8">
        <f t="shared" si="2"/>
        <v>12.767127777777779</v>
      </c>
      <c r="G8">
        <f t="shared" si="3"/>
        <v>143.56070277777778</v>
      </c>
      <c r="H8" s="3" t="str">
        <f t="shared" si="4"/>
        <v>[7] = {["comment"] = "12-46-01.6600N 143-33-38.5300E", ["callsignStr"] = "ALMEH", ["latitude"] = 12.7671277777778, ["longitude"] = 143.560702777778 },</v>
      </c>
    </row>
    <row r="9" spans="1:8" ht="29.4" thickBot="1" x14ac:dyDescent="0.35">
      <c r="A9" s="2" t="s">
        <v>46</v>
      </c>
      <c r="B9" s="2" t="s">
        <v>33</v>
      </c>
      <c r="C9" s="2" t="s">
        <v>47</v>
      </c>
      <c r="D9" t="str">
        <f t="shared" si="0"/>
        <v>15-26-00.5100N</v>
      </c>
      <c r="E9" t="str">
        <f t="shared" si="1"/>
        <v>146-16-26.4700E</v>
      </c>
      <c r="F9">
        <f t="shared" si="2"/>
        <v>15.433475</v>
      </c>
      <c r="G9">
        <f t="shared" si="3"/>
        <v>146.27401944444446</v>
      </c>
      <c r="H9" s="3" t="str">
        <f t="shared" si="4"/>
        <v>[8] = {["comment"] = "UNZ*C*035.00/148.40 15-26-00.5100N 146-16-26.4700E", ["callsignStr"] = "ANEVY", ["latitude"] = 15.433475, ["longitude"] = 146.274019444444 },</v>
      </c>
    </row>
    <row r="10" spans="1:8" ht="29.4" thickBot="1" x14ac:dyDescent="0.35">
      <c r="A10" s="2" t="s">
        <v>21</v>
      </c>
      <c r="B10" s="2" t="s">
        <v>33</v>
      </c>
      <c r="C10" s="2" t="s">
        <v>48</v>
      </c>
      <c r="D10" t="str">
        <f t="shared" si="0"/>
        <v>13-32-35.0000N</v>
      </c>
      <c r="E10" t="str">
        <f t="shared" si="1"/>
        <v>144-50-34.5100E</v>
      </c>
      <c r="F10">
        <f t="shared" si="2"/>
        <v>13.543055555555556</v>
      </c>
      <c r="G10">
        <f t="shared" si="3"/>
        <v>144.84291944444445</v>
      </c>
      <c r="H10" s="3" t="str">
        <f t="shared" si="4"/>
        <v>[9] = {["comment"] = "UNZ*C*048.46 UAM*T*242.61/6.71 UAM*LG*243.87 13-32-35.0000N 144-50-34.5100E", ["callsignStr"] = "ANIKA", ["latitude"] = 13.5430555555556, ["longitude"] = 144.842919444444 },</v>
      </c>
    </row>
    <row r="11" spans="1:8" ht="29.4" thickBot="1" x14ac:dyDescent="0.35">
      <c r="A11" s="2" t="s">
        <v>49</v>
      </c>
      <c r="B11" s="2" t="s">
        <v>33</v>
      </c>
      <c r="C11" s="2" t="s">
        <v>50</v>
      </c>
      <c r="D11" t="str">
        <f t="shared" si="0"/>
        <v>13-48-55.4400N</v>
      </c>
      <c r="E11" t="str">
        <f t="shared" si="1"/>
        <v>144-46-02.2900E</v>
      </c>
      <c r="F11">
        <f t="shared" si="2"/>
        <v>13.8154</v>
      </c>
      <c r="G11">
        <f t="shared" si="3"/>
        <v>144.76730277777779</v>
      </c>
      <c r="H11" s="3" t="str">
        <f t="shared" si="4"/>
        <v>[10] = {["comment"] = "UAM*T*320.00/17.00 13-48-55.4400N 144-46-02.2900E", ["callsignStr"] = "ARKEE", ["latitude"] = 13.8154, ["longitude"] = 144.767302777778 },</v>
      </c>
    </row>
    <row r="12" spans="1:8" ht="29.4" thickBot="1" x14ac:dyDescent="0.35">
      <c r="A12" s="2" t="s">
        <v>51</v>
      </c>
      <c r="B12" s="2" t="s">
        <v>33</v>
      </c>
      <c r="C12" s="2" t="s">
        <v>52</v>
      </c>
      <c r="D12" t="str">
        <f t="shared" si="0"/>
        <v>12-47-35.4000N</v>
      </c>
      <c r="E12" t="str">
        <f t="shared" si="1"/>
        <v>144-50-24.1400E</v>
      </c>
      <c r="F12">
        <f t="shared" si="2"/>
        <v>12.793166666666666</v>
      </c>
      <c r="G12">
        <f t="shared" si="3"/>
        <v>144.8400388888889</v>
      </c>
      <c r="H12" s="3" t="str">
        <f t="shared" si="4"/>
        <v>[11] = {["comment"] = "UNZ*C*169.00/40.00 12-47-35.4000N 144-50-24.1400E", ["callsignStr"] = "ASADE", ["latitude"] = 12.7931666666667, ["longitude"] = 144.840038888889 },</v>
      </c>
    </row>
    <row r="13" spans="1:8" ht="29.4" thickBot="1" x14ac:dyDescent="0.35">
      <c r="A13" s="2" t="s">
        <v>53</v>
      </c>
      <c r="B13" s="2" t="s">
        <v>33</v>
      </c>
      <c r="C13" s="2" t="s">
        <v>54</v>
      </c>
      <c r="D13" t="str">
        <f t="shared" si="0"/>
        <v>13-39-15.5100N</v>
      </c>
      <c r="E13" t="str">
        <f t="shared" si="1"/>
        <v>145-17-46.6300E</v>
      </c>
      <c r="F13">
        <f t="shared" si="2"/>
        <v>13.654308333333333</v>
      </c>
      <c r="G13">
        <f t="shared" si="3"/>
        <v>145.2962861111111</v>
      </c>
      <c r="H13" s="3" t="str">
        <f t="shared" si="4"/>
        <v>[12] = {["comment"] = "UNZ*C*068.00/35.00 13-39-15.5100N 145-17-46.6300E", ["callsignStr"] = "BAGBE", ["latitude"] = 13.6543083333333, ["longitude"] = 145.296286111111 },</v>
      </c>
    </row>
    <row r="14" spans="1:8" ht="29.4" thickBot="1" x14ac:dyDescent="0.35">
      <c r="A14" s="2" t="s">
        <v>55</v>
      </c>
      <c r="B14" s="2" t="s">
        <v>33</v>
      </c>
      <c r="C14" s="2" t="s">
        <v>56</v>
      </c>
      <c r="D14" t="str">
        <f t="shared" si="0"/>
        <v>13-31-55.9300N</v>
      </c>
      <c r="E14" t="str">
        <f t="shared" si="1"/>
        <v>144-50-41.2900E</v>
      </c>
      <c r="F14">
        <f t="shared" si="2"/>
        <v>13.532202777777778</v>
      </c>
      <c r="G14">
        <f t="shared" si="3"/>
        <v>144.8448027777778</v>
      </c>
      <c r="H14" s="3" t="str">
        <f t="shared" si="4"/>
        <v>[13] = {["comment"] = "UNZ*C*052.55/8.00 13-31-55.9300N 144-50-41.2900E", ["callsignStr"] = "BANNI", ["latitude"] = 13.5322027777778, ["longitude"] = 144.844802777778 },</v>
      </c>
    </row>
    <row r="15" spans="1:8" ht="29.4" thickBot="1" x14ac:dyDescent="0.35">
      <c r="A15" s="2" t="s">
        <v>57</v>
      </c>
      <c r="B15" s="2" t="s">
        <v>33</v>
      </c>
      <c r="C15" s="2" t="s">
        <v>58</v>
      </c>
      <c r="D15" t="str">
        <f t="shared" si="0"/>
        <v>13-35-34.6500N</v>
      </c>
      <c r="E15" t="str">
        <f t="shared" si="1"/>
        <v>144-57-17.8200E</v>
      </c>
      <c r="F15">
        <f t="shared" si="2"/>
        <v>13.592958333333334</v>
      </c>
      <c r="G15">
        <f t="shared" si="3"/>
        <v>144.95495</v>
      </c>
      <c r="H15" s="3" t="str">
        <f t="shared" si="4"/>
        <v>[14] = {["comment"] = "UAM*T*076.00/0.50 13-35-34.6500N 144-57-17.8200E", ["callsignStr"] = "BAVAC", ["latitude"] = 13.5929583333333, ["longitude"] = 144.95495 },</v>
      </c>
    </row>
    <row r="16" spans="1:8" ht="29.4" thickBot="1" x14ac:dyDescent="0.35">
      <c r="A16" s="2" t="s">
        <v>59</v>
      </c>
      <c r="B16" s="2" t="s">
        <v>33</v>
      </c>
      <c r="C16" s="2" t="s">
        <v>60</v>
      </c>
      <c r="D16" t="str">
        <f t="shared" si="0"/>
        <v>13-27-45.7000N</v>
      </c>
      <c r="E16" t="str">
        <f t="shared" si="1"/>
        <v>144-44-54.7500E</v>
      </c>
      <c r="F16">
        <f t="shared" si="2"/>
        <v>13.462694444444443</v>
      </c>
      <c r="G16">
        <f t="shared" si="3"/>
        <v>144.74854166666665</v>
      </c>
      <c r="H16" s="3" t="str">
        <f t="shared" si="4"/>
        <v>[15] = {["comment"] = "13-27-45.7000N 144-44-54.7500E", ["callsignStr"] = "BOJEL", ["latitude"] = 13.4626944444444, ["longitude"] = 144.748541666667 },</v>
      </c>
    </row>
    <row r="17" spans="1:8" ht="29.4" thickBot="1" x14ac:dyDescent="0.35">
      <c r="A17" s="2" t="s">
        <v>61</v>
      </c>
      <c r="B17" s="2" t="s">
        <v>33</v>
      </c>
      <c r="C17" s="2" t="s">
        <v>62</v>
      </c>
      <c r="D17" t="str">
        <f t="shared" si="0"/>
        <v>13-27-19.8500N</v>
      </c>
      <c r="E17" t="str">
        <f t="shared" si="1"/>
        <v>144-43-58.2700E</v>
      </c>
      <c r="F17">
        <f t="shared" si="2"/>
        <v>13.455513888888888</v>
      </c>
      <c r="G17">
        <f t="shared" si="3"/>
        <v>144.73285277777779</v>
      </c>
      <c r="H17" s="3" t="str">
        <f t="shared" si="4"/>
        <v>[16] = {["comment"] = "13-27-19.8500N 144-43-58.2700E", ["callsignStr"] = "BOLFY", ["latitude"] = 13.4555138888889, ["longitude"] = 144.732852777778 },</v>
      </c>
    </row>
    <row r="18" spans="1:8" ht="29.4" thickBot="1" x14ac:dyDescent="0.35">
      <c r="A18" s="2" t="s">
        <v>63</v>
      </c>
      <c r="B18" s="2" t="s">
        <v>33</v>
      </c>
      <c r="C18" s="2" t="s">
        <v>64</v>
      </c>
      <c r="D18" t="str">
        <f t="shared" si="0"/>
        <v>13-36-55.8800N</v>
      </c>
      <c r="E18" t="str">
        <f t="shared" si="1"/>
        <v>144-35-02.4400E</v>
      </c>
      <c r="F18">
        <f t="shared" si="2"/>
        <v>13.615522222222221</v>
      </c>
      <c r="G18">
        <f t="shared" si="3"/>
        <v>144.58401111111112</v>
      </c>
      <c r="H18" s="3" t="str">
        <f t="shared" si="4"/>
        <v>[17] = {["comment"] = "13-36-55.8800N 144-35-02.4400E", ["callsignStr"] = "BRTNE", ["latitude"] = 13.6155222222222, ["longitude"] = 144.584011111111 },</v>
      </c>
    </row>
    <row r="19" spans="1:8" ht="29.4" thickBot="1" x14ac:dyDescent="0.35">
      <c r="A19" s="2" t="s">
        <v>65</v>
      </c>
      <c r="B19" s="2" t="s">
        <v>33</v>
      </c>
      <c r="C19" s="2" t="s">
        <v>66</v>
      </c>
      <c r="D19" t="str">
        <f t="shared" si="0"/>
        <v>13-14-24.0500N</v>
      </c>
      <c r="E19" t="str">
        <f t="shared" si="1"/>
        <v>144-39-56.7300E</v>
      </c>
      <c r="F19">
        <f t="shared" si="2"/>
        <v>13.240013888888887</v>
      </c>
      <c r="G19">
        <f t="shared" si="3"/>
        <v>144.66575833333334</v>
      </c>
      <c r="H19" s="3" t="str">
        <f t="shared" si="4"/>
        <v>[18] = {["comment"] = "13-14-24.0500N 144-39-56.7300E", ["callsignStr"] = "BURLE", ["latitude"] = 13.2400138888889, ["longitude"] = 144.665758333333 },</v>
      </c>
    </row>
    <row r="20" spans="1:8" ht="29.4" thickBot="1" x14ac:dyDescent="0.35">
      <c r="A20" s="2" t="s">
        <v>67</v>
      </c>
      <c r="B20" s="2" t="s">
        <v>33</v>
      </c>
      <c r="C20" s="2" t="s">
        <v>68</v>
      </c>
      <c r="D20" t="str">
        <f t="shared" si="0"/>
        <v>13-43-26.8300N</v>
      </c>
      <c r="E20" t="str">
        <f t="shared" si="1"/>
        <v>144-55-15.3100E</v>
      </c>
      <c r="F20">
        <f t="shared" si="2"/>
        <v>13.724119444444444</v>
      </c>
      <c r="G20">
        <f t="shared" si="3"/>
        <v>144.92091944444442</v>
      </c>
      <c r="H20" s="3" t="str">
        <f t="shared" si="4"/>
        <v>[19] = {["comment"] = "13-43-26.8300N 144-55-15.3100E", ["callsignStr"] = "CADUK", ["latitude"] = 13.7241194444444, ["longitude"] = 144.920919444444 },</v>
      </c>
    </row>
    <row r="21" spans="1:8" ht="29.4" thickBot="1" x14ac:dyDescent="0.35">
      <c r="A21" s="2" t="s">
        <v>69</v>
      </c>
      <c r="B21" s="2" t="s">
        <v>33</v>
      </c>
      <c r="C21" s="2" t="s">
        <v>70</v>
      </c>
      <c r="D21" t="str">
        <f t="shared" si="0"/>
        <v>13-28-54.3300N</v>
      </c>
      <c r="E21" t="str">
        <f t="shared" si="1"/>
        <v>144-47-41.4900E</v>
      </c>
      <c r="F21">
        <f t="shared" si="2"/>
        <v>13.481758333333334</v>
      </c>
      <c r="G21">
        <f t="shared" si="3"/>
        <v>144.79485833333334</v>
      </c>
      <c r="H21" s="3" t="str">
        <f t="shared" si="4"/>
        <v>[20] = {["comment"] = "13-28-54.3300N 144-47-41.4900E", ["callsignStr"] = "CATEN", ["latitude"] = 13.4817583333333, ["longitude"] = 144.794858333333 },</v>
      </c>
    </row>
    <row r="22" spans="1:8" ht="29.4" thickBot="1" x14ac:dyDescent="0.35">
      <c r="A22" s="2" t="s">
        <v>71</v>
      </c>
      <c r="B22" s="2" t="s">
        <v>33</v>
      </c>
      <c r="C22" s="2" t="s">
        <v>72</v>
      </c>
      <c r="D22" t="str">
        <f t="shared" si="0"/>
        <v>13-34-30.8500N</v>
      </c>
      <c r="E22" t="str">
        <f t="shared" si="1"/>
        <v>144-54-58.7700E</v>
      </c>
      <c r="F22">
        <f t="shared" si="2"/>
        <v>13.575236111111112</v>
      </c>
      <c r="G22">
        <f t="shared" si="3"/>
        <v>144.916325</v>
      </c>
      <c r="H22" s="3" t="str">
        <f t="shared" si="4"/>
        <v>[21] = {["comment"] = "UNZ*C*054.00/12.90 13-34-30.8500N 144-54-58.7700E", ["callsignStr"] = "CCOOK", ["latitude"] = 13.5752361111111, ["longitude"] = 144.916325 },</v>
      </c>
    </row>
    <row r="23" spans="1:8" ht="29.4" thickBot="1" x14ac:dyDescent="0.35">
      <c r="A23" s="2" t="s">
        <v>73</v>
      </c>
      <c r="B23" s="2" t="s">
        <v>33</v>
      </c>
      <c r="C23" s="2" t="s">
        <v>74</v>
      </c>
      <c r="D23" t="str">
        <f t="shared" si="0"/>
        <v>13-26-22.5800N</v>
      </c>
      <c r="E23" t="str">
        <f t="shared" si="1"/>
        <v>144-42-09.7800E</v>
      </c>
      <c r="F23">
        <f t="shared" si="2"/>
        <v>13.439605555555556</v>
      </c>
      <c r="G23">
        <f t="shared" si="3"/>
        <v>144.70271666666665</v>
      </c>
      <c r="H23" s="3" t="str">
        <f t="shared" si="4"/>
        <v>[22] = {["comment"] = "AWD*LD*242.96/7.12 13-26-22.5800N 144-42-09.7800E", ["callsignStr"] = "CEGMU", ["latitude"] = 13.4396055555556, ["longitude"] = 144.702716666667 },</v>
      </c>
    </row>
    <row r="24" spans="1:8" ht="29.4" thickBot="1" x14ac:dyDescent="0.35">
      <c r="A24" s="2" t="s">
        <v>75</v>
      </c>
      <c r="B24" s="2" t="s">
        <v>33</v>
      </c>
      <c r="C24" s="2" t="s">
        <v>76</v>
      </c>
      <c r="D24" t="str">
        <f t="shared" si="0"/>
        <v>13-35-23.8400N</v>
      </c>
      <c r="E24" t="str">
        <f t="shared" si="1"/>
        <v>144-39-56.8400E</v>
      </c>
      <c r="F24">
        <f t="shared" si="2"/>
        <v>13.589955555555557</v>
      </c>
      <c r="G24">
        <f t="shared" si="3"/>
        <v>144.6657888888889</v>
      </c>
      <c r="H24" s="3" t="str">
        <f t="shared" si="4"/>
        <v>[23] = {["comment"] = "UNZ*C*332.00/9.00 13-35-23.8400N 144-39-56.8400E", ["callsignStr"] = "CETAS", ["latitude"] = 13.5899555555556, ["longitude"] = 144.665788888889 },</v>
      </c>
    </row>
    <row r="25" spans="1:8" ht="29.4" thickBot="1" x14ac:dyDescent="0.35">
      <c r="A25" s="2" t="s">
        <v>77</v>
      </c>
      <c r="B25" s="2" t="s">
        <v>33</v>
      </c>
      <c r="C25" s="2" t="s">
        <v>78</v>
      </c>
      <c r="D25" t="str">
        <f t="shared" si="0"/>
        <v>13-28-51.9700N</v>
      </c>
      <c r="E25" t="str">
        <f t="shared" si="1"/>
        <v>144-54-36.2400E</v>
      </c>
      <c r="F25">
        <f t="shared" si="2"/>
        <v>13.481102777777778</v>
      </c>
      <c r="G25">
        <f t="shared" si="3"/>
        <v>144.91006666666667</v>
      </c>
      <c r="H25" s="3" t="str">
        <f t="shared" si="4"/>
        <v>[24] = {["comment"] = "13-28-51.9700N 144-54-36.2400E", ["callsignStr"] = "CFCRN", ["latitude"] = 13.4811027777778, ["longitude"] = 144.910066666667 },</v>
      </c>
    </row>
    <row r="26" spans="1:8" ht="29.4" thickBot="1" x14ac:dyDescent="0.35">
      <c r="A26" s="2" t="s">
        <v>79</v>
      </c>
      <c r="B26" s="2" t="s">
        <v>33</v>
      </c>
      <c r="C26" s="2" t="s">
        <v>80</v>
      </c>
      <c r="D26" t="str">
        <f t="shared" si="0"/>
        <v>13-25-01.9200N</v>
      </c>
      <c r="E26" t="str">
        <f t="shared" si="1"/>
        <v>144-46-12.9600E</v>
      </c>
      <c r="F26">
        <f t="shared" si="2"/>
        <v>13.417199999999999</v>
      </c>
      <c r="G26">
        <f t="shared" si="3"/>
        <v>144.77026666666669</v>
      </c>
      <c r="H26" s="3" t="str">
        <f t="shared" si="4"/>
        <v>[25] = {["comment"] = "13-25-01.9200N 144-46-12.9600E", ["callsignStr"] = "CFCTG", ["latitude"] = 13.4172, ["longitude"] = 144.770266666667 },</v>
      </c>
    </row>
    <row r="27" spans="1:8" ht="29.4" thickBot="1" x14ac:dyDescent="0.35">
      <c r="A27" s="2" t="s">
        <v>81</v>
      </c>
      <c r="B27" s="2" t="s">
        <v>33</v>
      </c>
      <c r="C27" s="2" t="s">
        <v>82</v>
      </c>
      <c r="D27" t="str">
        <f t="shared" si="0"/>
        <v>13-37-15.4700N</v>
      </c>
      <c r="E27" t="str">
        <f t="shared" si="1"/>
        <v>144-53-03.1600E</v>
      </c>
      <c r="F27">
        <f t="shared" si="2"/>
        <v>13.620963888888889</v>
      </c>
      <c r="G27">
        <f t="shared" si="3"/>
        <v>144.88421111111111</v>
      </c>
      <c r="H27" s="3" t="str">
        <f t="shared" si="4"/>
        <v>[26] = {["comment"] = "13-37-15.4700N 144-53-03.1600E", ["callsignStr"] = "CFCWC", ["latitude"] = 13.6209638888889, ["longitude"] = 144.884211111111 },</v>
      </c>
    </row>
    <row r="28" spans="1:8" ht="29.4" thickBot="1" x14ac:dyDescent="0.35">
      <c r="A28" s="2" t="s">
        <v>83</v>
      </c>
      <c r="B28" s="2" t="s">
        <v>33</v>
      </c>
      <c r="C28" s="2" t="s">
        <v>84</v>
      </c>
      <c r="D28" t="str">
        <f t="shared" si="0"/>
        <v>13-26-28.8900N</v>
      </c>
      <c r="E28" t="str">
        <f t="shared" si="1"/>
        <v>144-55-44.4600E</v>
      </c>
      <c r="F28">
        <f t="shared" si="2"/>
        <v>13.441358333333334</v>
      </c>
      <c r="G28">
        <f t="shared" si="3"/>
        <v>144.92901666666666</v>
      </c>
      <c r="H28" s="3" t="str">
        <f t="shared" si="4"/>
        <v>[27] = {["comment"] = "13-26-28.8900N 144-55-44.4600E", ["callsignStr"] = "CFCWN", ["latitude"] = 13.4413583333333, ["longitude"] = 144.929016666667 },</v>
      </c>
    </row>
    <row r="29" spans="1:8" ht="29.4" thickBot="1" x14ac:dyDescent="0.35">
      <c r="A29" s="2" t="s">
        <v>85</v>
      </c>
      <c r="B29" s="2" t="s">
        <v>33</v>
      </c>
      <c r="C29" s="2" t="s">
        <v>86</v>
      </c>
      <c r="D29" t="str">
        <f t="shared" si="0"/>
        <v>13-28-38.2300N</v>
      </c>
      <c r="E29" t="str">
        <f t="shared" si="1"/>
        <v>144-54-22.9300E</v>
      </c>
      <c r="F29">
        <f t="shared" si="2"/>
        <v>13.477286111111111</v>
      </c>
      <c r="G29">
        <f t="shared" si="3"/>
        <v>144.90636944444444</v>
      </c>
      <c r="H29" s="3" t="str">
        <f t="shared" si="4"/>
        <v>[28] = {["comment"] = "13-28-38.2300N 144-54-22.9300E", ["callsignStr"] = "CFDBR", ["latitude"] = 13.4772861111111, ["longitude"] = 144.906369444444 },</v>
      </c>
    </row>
    <row r="30" spans="1:8" ht="29.4" thickBot="1" x14ac:dyDescent="0.35">
      <c r="A30" s="2" t="s">
        <v>87</v>
      </c>
      <c r="B30" s="2" t="s">
        <v>33</v>
      </c>
      <c r="C30" s="2" t="s">
        <v>88</v>
      </c>
      <c r="D30" t="str">
        <f t="shared" si="0"/>
        <v>13-24-50.4200N</v>
      </c>
      <c r="E30" t="str">
        <f t="shared" si="1"/>
        <v>144-46-04.3800E</v>
      </c>
      <c r="F30">
        <f t="shared" si="2"/>
        <v>13.414005555555557</v>
      </c>
      <c r="G30">
        <f t="shared" si="3"/>
        <v>144.76788333333334</v>
      </c>
      <c r="H30" s="3" t="str">
        <f t="shared" si="4"/>
        <v>[29] = {["comment"] = "13-24-50.4200N 144-46-04.3800E", ["callsignStr"] = "CFDJT", ["latitude"] = 13.4140055555556, ["longitude"] = 144.767883333333 },</v>
      </c>
    </row>
    <row r="31" spans="1:8" ht="29.4" thickBot="1" x14ac:dyDescent="0.35">
      <c r="A31" s="2" t="s">
        <v>89</v>
      </c>
      <c r="B31" s="2" t="s">
        <v>33</v>
      </c>
      <c r="C31" s="2" t="s">
        <v>90</v>
      </c>
      <c r="D31" t="str">
        <f t="shared" si="0"/>
        <v>13-25-41.8400N</v>
      </c>
      <c r="E31" t="str">
        <f t="shared" si="1"/>
        <v>144-55-47.0200E</v>
      </c>
      <c r="F31">
        <f t="shared" si="2"/>
        <v>13.428288888888888</v>
      </c>
      <c r="G31">
        <f t="shared" si="3"/>
        <v>144.92972777777777</v>
      </c>
      <c r="H31" s="3" t="str">
        <f t="shared" si="4"/>
        <v>[30] = {["comment"] = "13-25-41.8400N 144-55-47.0200E", ["callsignStr"] = "CFDNN", ["latitude"] = 13.4282888888889, ["longitude"] = 144.929727777778 },</v>
      </c>
    </row>
    <row r="32" spans="1:8" ht="29.4" thickBot="1" x14ac:dyDescent="0.35">
      <c r="A32" s="2" t="s">
        <v>91</v>
      </c>
      <c r="B32" s="2" t="s">
        <v>33</v>
      </c>
      <c r="C32" s="2" t="s">
        <v>92</v>
      </c>
      <c r="D32" t="str">
        <f t="shared" si="0"/>
        <v>13-37-15.9700N</v>
      </c>
      <c r="E32" t="str">
        <f t="shared" si="1"/>
        <v>144-52-43.1800E</v>
      </c>
      <c r="F32">
        <f t="shared" si="2"/>
        <v>13.621102777777779</v>
      </c>
      <c r="G32">
        <f t="shared" si="3"/>
        <v>144.87866111111111</v>
      </c>
      <c r="H32" s="3" t="str">
        <f t="shared" si="4"/>
        <v>[31] = {["comment"] = "13-37-15.9700N 144-52-43.1800E", ["callsignStr"] = "CFGFN", ["latitude"] = 13.6211027777778, ["longitude"] = 144.878661111111 },</v>
      </c>
    </row>
    <row r="33" spans="1:8" ht="29.4" thickBot="1" x14ac:dyDescent="0.35">
      <c r="A33" s="2" t="s">
        <v>93</v>
      </c>
      <c r="B33" s="2" t="s">
        <v>33</v>
      </c>
      <c r="C33" s="2" t="s">
        <v>94</v>
      </c>
      <c r="D33" t="str">
        <f t="shared" si="0"/>
        <v>13-31-35.8000N</v>
      </c>
      <c r="E33" t="str">
        <f t="shared" si="1"/>
        <v>144-53-18.1100E</v>
      </c>
      <c r="F33">
        <f t="shared" si="2"/>
        <v>13.526611111111112</v>
      </c>
      <c r="G33">
        <f t="shared" si="3"/>
        <v>144.88836388888888</v>
      </c>
      <c r="H33" s="3" t="str">
        <f t="shared" si="4"/>
        <v>[32] = {["comment"] = "13-31-35.8000N 144-53-18.1100E", ["callsignStr"] = "CHOLO", ["latitude"] = 13.5266111111111, ["longitude"] = 144.888363888889 },</v>
      </c>
    </row>
    <row r="34" spans="1:8" ht="29.4" thickBot="1" x14ac:dyDescent="0.35">
      <c r="A34" s="2" t="s">
        <v>95</v>
      </c>
      <c r="B34" s="2" t="s">
        <v>33</v>
      </c>
      <c r="C34" s="2" t="s">
        <v>96</v>
      </c>
      <c r="D34" t="str">
        <f t="shared" si="0"/>
        <v>13-34-20.7500N</v>
      </c>
      <c r="E34" t="str">
        <f t="shared" si="1"/>
        <v>144-59-35.9100E</v>
      </c>
      <c r="F34">
        <f t="shared" si="2"/>
        <v>13.572430555555556</v>
      </c>
      <c r="G34">
        <f t="shared" si="3"/>
        <v>144.99330833333332</v>
      </c>
      <c r="H34" s="3" t="str">
        <f t="shared" si="4"/>
        <v>[33] = {["comment"] = "13-34-20.7500N 144-59-35.9100E", ["callsignStr"] = "CIBOL", ["latitude"] = 13.5724305555556, ["longitude"] = 144.993308333333 },</v>
      </c>
    </row>
    <row r="35" spans="1:8" ht="29.4" thickBot="1" x14ac:dyDescent="0.35">
      <c r="A35" s="2" t="s">
        <v>97</v>
      </c>
      <c r="B35" s="2" t="s">
        <v>33</v>
      </c>
      <c r="C35" s="2" t="s">
        <v>98</v>
      </c>
      <c r="D35" t="str">
        <f t="shared" si="0"/>
        <v>13-32-17.2600N</v>
      </c>
      <c r="E35" t="str">
        <f t="shared" si="1"/>
        <v>144-55-05.6900E</v>
      </c>
      <c r="F35">
        <f t="shared" si="2"/>
        <v>13.538127777777778</v>
      </c>
      <c r="G35">
        <f t="shared" si="3"/>
        <v>144.91824722222222</v>
      </c>
      <c r="H35" s="3" t="str">
        <f t="shared" si="4"/>
        <v>[34] = {["comment"] = "13-32-17.2600N 144-55-05.6900E", ["callsignStr"] = "CIMON", ["latitude"] = 13.5381277777778, ["longitude"] = 144.918247222222 },</v>
      </c>
    </row>
    <row r="36" spans="1:8" ht="29.4" thickBot="1" x14ac:dyDescent="0.35">
      <c r="A36" s="2" t="s">
        <v>99</v>
      </c>
      <c r="B36" s="2" t="s">
        <v>33</v>
      </c>
      <c r="C36" s="2" t="s">
        <v>100</v>
      </c>
      <c r="D36" t="str">
        <f t="shared" si="0"/>
        <v>13-32-21.5900N</v>
      </c>
      <c r="E36" t="str">
        <f t="shared" si="1"/>
        <v>144-50-48.7600E</v>
      </c>
      <c r="F36">
        <f t="shared" si="2"/>
        <v>13.539330555555555</v>
      </c>
      <c r="G36">
        <f t="shared" si="3"/>
        <v>144.84687777777779</v>
      </c>
      <c r="H36" s="3" t="str">
        <f t="shared" si="4"/>
        <v>[35] = {["comment"] = "UAM*T*240.00/6.60 13-32-21.5900N 144-50-48.7600E", ["callsignStr"] = "COLMA", ["latitude"] = 13.5393305555556, ["longitude"] = 144.846877777778 },</v>
      </c>
    </row>
    <row r="37" spans="1:8" ht="29.4" thickBot="1" x14ac:dyDescent="0.35">
      <c r="A37" s="2" t="s">
        <v>101</v>
      </c>
      <c r="B37" s="2" t="s">
        <v>33</v>
      </c>
      <c r="C37" s="2" t="s">
        <v>102</v>
      </c>
      <c r="D37" t="str">
        <f t="shared" si="0"/>
        <v>14-39-33.0300N</v>
      </c>
      <c r="E37" t="str">
        <f t="shared" si="1"/>
        <v>144-08-02.8100E</v>
      </c>
      <c r="F37">
        <f t="shared" si="2"/>
        <v>14.659175000000001</v>
      </c>
      <c r="G37">
        <f t="shared" si="3"/>
        <v>144.13411388888889</v>
      </c>
      <c r="H37" s="3" t="str">
        <f t="shared" si="4"/>
        <v>[36] = {["comment"] = "14-39-33.0300N 144-08-02.8100E", ["callsignStr"] = "CORUL", ["latitude"] = 14.659175, ["longitude"] = 144.134113888889 },</v>
      </c>
    </row>
    <row r="38" spans="1:8" ht="29.4" thickBot="1" x14ac:dyDescent="0.35">
      <c r="A38" s="2" t="s">
        <v>103</v>
      </c>
      <c r="B38" s="2" t="s">
        <v>33</v>
      </c>
      <c r="C38" s="2" t="s">
        <v>104</v>
      </c>
      <c r="D38" t="str">
        <f t="shared" si="0"/>
        <v>13-38-15.3800N</v>
      </c>
      <c r="E38" t="str">
        <f t="shared" si="1"/>
        <v>145-00-49.2700E</v>
      </c>
      <c r="F38">
        <f t="shared" si="2"/>
        <v>13.637605555555554</v>
      </c>
      <c r="G38">
        <f t="shared" si="3"/>
        <v>145.0136861111111</v>
      </c>
      <c r="H38" s="3" t="str">
        <f t="shared" si="4"/>
        <v>[37] = {["comment"] = "UNZ*C*054.25/19.70 13-38-15.3800N 145-00-49.2700E", ["callsignStr"] = "CREET", ["latitude"] = 13.6376055555556, ["longitude"] = 145.013686111111 },</v>
      </c>
    </row>
    <row r="39" spans="1:8" ht="29.4" thickBot="1" x14ac:dyDescent="0.35">
      <c r="A39" s="2" t="s">
        <v>105</v>
      </c>
      <c r="B39" s="2" t="s">
        <v>33</v>
      </c>
      <c r="C39" s="2" t="s">
        <v>106</v>
      </c>
      <c r="D39" t="str">
        <f t="shared" si="0"/>
        <v>13-26-36.5100N</v>
      </c>
      <c r="E39" t="str">
        <f t="shared" si="1"/>
        <v>144-42-37.0700E</v>
      </c>
      <c r="F39">
        <f t="shared" si="2"/>
        <v>13.443474999999999</v>
      </c>
      <c r="G39">
        <f t="shared" si="3"/>
        <v>144.71029722222221</v>
      </c>
      <c r="H39" s="3" t="str">
        <f t="shared" si="4"/>
        <v>[38] = {["comment"] = "UNZ*C*241.83/1.50 13-26-36.5100N 144-42-37.0700E", ["callsignStr"] = "CUDID", ["latitude"] = 13.443475, ["longitude"] = 144.710297222222 },</v>
      </c>
    </row>
    <row r="40" spans="1:8" ht="29.4" thickBot="1" x14ac:dyDescent="0.35">
      <c r="A40" s="2" t="s">
        <v>107</v>
      </c>
      <c r="B40" s="2" t="s">
        <v>33</v>
      </c>
      <c r="C40" s="2" t="s">
        <v>108</v>
      </c>
      <c r="D40" t="str">
        <f t="shared" si="0"/>
        <v>13-23-23.6700N</v>
      </c>
      <c r="E40" t="str">
        <f t="shared" si="1"/>
        <v>144-35-39.4300E</v>
      </c>
      <c r="F40">
        <f t="shared" si="2"/>
        <v>13.389908333333333</v>
      </c>
      <c r="G40">
        <f t="shared" si="3"/>
        <v>144.59428611111113</v>
      </c>
      <c r="H40" s="3" t="str">
        <f t="shared" si="4"/>
        <v>[39] = {["comment"] = "13-23-23.6700N 144-35-39.4300E", ["callsignStr"] = "DALPE", ["latitude"] = 13.3899083333333, ["longitude"] = 144.594286111111 },</v>
      </c>
    </row>
    <row r="41" spans="1:8" ht="29.4" thickBot="1" x14ac:dyDescent="0.35">
      <c r="A41" s="2" t="s">
        <v>109</v>
      </c>
      <c r="B41" s="2" t="s">
        <v>33</v>
      </c>
      <c r="C41" s="2" t="s">
        <v>110</v>
      </c>
      <c r="D41" t="str">
        <f t="shared" si="0"/>
        <v>13-34-45.2000N</v>
      </c>
      <c r="E41" t="str">
        <f t="shared" si="1"/>
        <v>145-02-55.4800E</v>
      </c>
      <c r="F41">
        <f t="shared" si="2"/>
        <v>13.579222222222223</v>
      </c>
      <c r="G41">
        <f t="shared" si="3"/>
        <v>145.04874444444445</v>
      </c>
      <c r="H41" s="3" t="str">
        <f t="shared" si="4"/>
        <v>[40] = {["comment"] = "13-34-45.2000N 145-02-55.4800E", ["callsignStr"] = "DELAC", ["latitude"] = 13.5792222222222, ["longitude"] = 145.048744444444 },</v>
      </c>
    </row>
    <row r="42" spans="1:8" ht="29.4" thickBot="1" x14ac:dyDescent="0.35">
      <c r="A42" s="2" t="s">
        <v>111</v>
      </c>
      <c r="B42" s="2" t="s">
        <v>33</v>
      </c>
      <c r="C42" s="2" t="s">
        <v>112</v>
      </c>
      <c r="D42" t="str">
        <f t="shared" si="0"/>
        <v>13-43-26.4000N</v>
      </c>
      <c r="E42" t="str">
        <f t="shared" si="1"/>
        <v>145-09-59.5800E</v>
      </c>
      <c r="F42">
        <f t="shared" si="2"/>
        <v>13.724</v>
      </c>
      <c r="G42">
        <f t="shared" si="3"/>
        <v>145.16655</v>
      </c>
      <c r="H42" s="3" t="str">
        <f t="shared" si="4"/>
        <v>[41] = {["comment"] = "UNZ*C*055.50/30.00 13-43-26.4000N 145-09-59.5800E", ["callsignStr"] = "DWAFF", ["latitude"] = 13.724, ["longitude"] = 145.16655 },</v>
      </c>
    </row>
    <row r="43" spans="1:8" ht="29.4" thickBot="1" x14ac:dyDescent="0.35">
      <c r="A43" s="2" t="s">
        <v>113</v>
      </c>
      <c r="B43" s="2" t="s">
        <v>33</v>
      </c>
      <c r="C43" s="2" t="s">
        <v>114</v>
      </c>
      <c r="D43" t="str">
        <f t="shared" si="0"/>
        <v>13-51-32.2200N</v>
      </c>
      <c r="E43" t="str">
        <f t="shared" si="1"/>
        <v>145-08-22.3200E</v>
      </c>
      <c r="F43">
        <f t="shared" si="2"/>
        <v>13.85895</v>
      </c>
      <c r="G43">
        <f t="shared" si="3"/>
        <v>145.13953333333333</v>
      </c>
      <c r="H43" s="3" t="str">
        <f t="shared" si="4"/>
        <v>[42] = {["comment"] = "13-51-32.2200N 145-08-22.3200E", ["callsignStr"] = "EDIAZ", ["latitude"] = 13.85895, ["longitude"] = 145.139533333333 },</v>
      </c>
    </row>
    <row r="44" spans="1:8" ht="29.4" thickBot="1" x14ac:dyDescent="0.35">
      <c r="A44" s="2" t="s">
        <v>115</v>
      </c>
      <c r="B44" s="2" t="s">
        <v>33</v>
      </c>
      <c r="C44" s="2" t="s">
        <v>116</v>
      </c>
      <c r="D44" t="str">
        <f t="shared" si="0"/>
        <v>13-35-31.5700N</v>
      </c>
      <c r="E44" t="str">
        <f t="shared" si="1"/>
        <v>144-56-38.0800E</v>
      </c>
      <c r="F44">
        <f t="shared" si="2"/>
        <v>13.592102777777779</v>
      </c>
      <c r="G44">
        <f t="shared" si="3"/>
        <v>144.94391111111111</v>
      </c>
      <c r="H44" s="3" t="str">
        <f t="shared" si="4"/>
        <v>[43] = {["comment"] = "UNZ*C*054.25/14.80 13-35-31.5700N 144-56-38.0800E", ["callsignStr"] = "ENWHY", ["latitude"] = 13.5921027777778, ["longitude"] = 144.943911111111 },</v>
      </c>
    </row>
    <row r="45" spans="1:8" ht="29.4" thickBot="1" x14ac:dyDescent="0.35">
      <c r="A45" s="2" t="s">
        <v>117</v>
      </c>
      <c r="B45" s="2" t="s">
        <v>33</v>
      </c>
      <c r="C45" s="2" t="s">
        <v>118</v>
      </c>
      <c r="D45" t="str">
        <f t="shared" si="0"/>
        <v>14-10-05.9500N</v>
      </c>
      <c r="E45" t="str">
        <f t="shared" si="1"/>
        <v>145-01-44.1000E</v>
      </c>
      <c r="F45">
        <f t="shared" si="2"/>
        <v>14.168319444444444</v>
      </c>
      <c r="G45">
        <f t="shared" si="3"/>
        <v>145.02891666666667</v>
      </c>
      <c r="H45" s="3" t="str">
        <f t="shared" si="4"/>
        <v>[44] = {["comment"] = "UNZ*C*020.00/46.00 GRO*R*267.09 14-10-05.9500N 145-01-44.1000E", ["callsignStr"] = "ERTTS", ["latitude"] = 14.1683194444444, ["longitude"] = 145.028916666667 },</v>
      </c>
    </row>
    <row r="46" spans="1:8" ht="29.4" thickBot="1" x14ac:dyDescent="0.35">
      <c r="A46" s="2" t="s">
        <v>119</v>
      </c>
      <c r="B46" s="2" t="s">
        <v>33</v>
      </c>
      <c r="C46" s="2" t="s">
        <v>120</v>
      </c>
      <c r="D46" t="str">
        <f t="shared" si="0"/>
        <v>13-25-54.3900N</v>
      </c>
      <c r="E46" t="str">
        <f t="shared" si="1"/>
        <v>144-55-41.0100E</v>
      </c>
      <c r="F46">
        <f t="shared" si="2"/>
        <v>13.431775</v>
      </c>
      <c r="G46">
        <f t="shared" si="3"/>
        <v>144.92805833333333</v>
      </c>
      <c r="H46" s="3" t="str">
        <f t="shared" si="4"/>
        <v>[45] = {["comment"] = "13-25-54.3900N 144-55-41.0100E", ["callsignStr"] = "ETOME", ["latitude"] = 13.431775, ["longitude"] = 144.928058333333 },</v>
      </c>
    </row>
    <row r="47" spans="1:8" ht="29.4" thickBot="1" x14ac:dyDescent="0.35">
      <c r="A47" s="2" t="s">
        <v>121</v>
      </c>
      <c r="B47" s="2" t="s">
        <v>33</v>
      </c>
      <c r="C47" s="2" t="s">
        <v>122</v>
      </c>
      <c r="D47" t="str">
        <f t="shared" si="0"/>
        <v>13-38-29.6900N</v>
      </c>
      <c r="E47" t="str">
        <f t="shared" si="1"/>
        <v>145-00-53.7500E</v>
      </c>
      <c r="F47">
        <f t="shared" si="2"/>
        <v>13.641580555555555</v>
      </c>
      <c r="G47">
        <f t="shared" si="3"/>
        <v>145.01493055555557</v>
      </c>
      <c r="H47" s="3" t="str">
        <f t="shared" si="4"/>
        <v>[46] = {["comment"] = "UAM*T*051.00/5.00 13-38-29.6900N 145-00-53.7500E", ["callsignStr"] = "EVEBE", ["latitude"] = 13.6415805555556, ["longitude"] = 145.014930555556 },</v>
      </c>
    </row>
    <row r="48" spans="1:8" ht="29.4" thickBot="1" x14ac:dyDescent="0.35">
      <c r="A48" s="2" t="s">
        <v>15</v>
      </c>
      <c r="B48" s="2" t="s">
        <v>33</v>
      </c>
      <c r="C48" s="2" t="s">
        <v>123</v>
      </c>
      <c r="D48" t="str">
        <f t="shared" si="0"/>
        <v>13-42-34.1800N</v>
      </c>
      <c r="E48" t="str">
        <f t="shared" si="1"/>
        <v>145-12-40.4900E</v>
      </c>
      <c r="F48">
        <f t="shared" si="2"/>
        <v>13.709494444444443</v>
      </c>
      <c r="G48">
        <f t="shared" si="3"/>
        <v>145.2112472222222</v>
      </c>
      <c r="H48" s="3" t="str">
        <f t="shared" si="4"/>
        <v>[47] = {["comment"] = "UAM*T*063.41/17.00 13-42-34.1800N 145-12-40.4900E", ["callsignStr"] = "FABED", ["latitude"] = 13.7094944444444, ["longitude"] = 145.211247222222 },</v>
      </c>
    </row>
    <row r="49" spans="1:8" ht="29.4" thickBot="1" x14ac:dyDescent="0.35">
      <c r="A49" s="2" t="s">
        <v>124</v>
      </c>
      <c r="B49" s="2" t="s">
        <v>33</v>
      </c>
      <c r="C49" s="2" t="s">
        <v>125</v>
      </c>
      <c r="D49" t="str">
        <f t="shared" si="0"/>
        <v>14-02-37.6100N</v>
      </c>
      <c r="E49" t="str">
        <f t="shared" si="1"/>
        <v>145-33-46.0000E</v>
      </c>
      <c r="F49">
        <f t="shared" si="2"/>
        <v>14.043780555555555</v>
      </c>
      <c r="G49">
        <f t="shared" si="3"/>
        <v>145.5627777777778</v>
      </c>
      <c r="H49" s="3" t="str">
        <f t="shared" si="4"/>
        <v>[48] = {["comment"] = "UAM*T*051.00/45.00 14-02-37.6100N 145-33-46.0000E", ["callsignStr"] = "FABHA", ["latitude"] = 14.0437805555556, ["longitude"] = 145.562777777778 },</v>
      </c>
    </row>
    <row r="50" spans="1:8" ht="29.4" thickBot="1" x14ac:dyDescent="0.35">
      <c r="A50" s="2" t="s">
        <v>126</v>
      </c>
      <c r="B50" s="2" t="s">
        <v>33</v>
      </c>
      <c r="C50" s="2" t="s">
        <v>127</v>
      </c>
      <c r="D50" t="str">
        <f t="shared" si="0"/>
        <v>13-25-26.0200N</v>
      </c>
      <c r="E50" t="str">
        <f t="shared" si="1"/>
        <v>145-04-04.8400E</v>
      </c>
      <c r="F50">
        <f t="shared" si="2"/>
        <v>13.423894444444445</v>
      </c>
      <c r="G50">
        <f t="shared" si="3"/>
        <v>145.0680111111111</v>
      </c>
      <c r="H50" s="3" t="str">
        <f t="shared" si="4"/>
        <v>[49] = {["comment"] = "13-25-26.0200N 145-04-04.8400E", ["callsignStr"] = "FAPAM", ["latitude"] = 13.4238944444444, ["longitude"] = 145.068011111111 },</v>
      </c>
    </row>
    <row r="51" spans="1:8" ht="29.4" thickBot="1" x14ac:dyDescent="0.35">
      <c r="A51" s="2" t="s">
        <v>128</v>
      </c>
      <c r="B51" s="2" t="s">
        <v>33</v>
      </c>
      <c r="C51" s="2" t="s">
        <v>129</v>
      </c>
      <c r="D51" t="str">
        <f t="shared" si="0"/>
        <v>13-34-17.6500N</v>
      </c>
      <c r="E51" t="str">
        <f t="shared" si="1"/>
        <v>144-54-31.7100E</v>
      </c>
      <c r="F51">
        <f t="shared" si="2"/>
        <v>13.571569444444444</v>
      </c>
      <c r="G51">
        <f t="shared" si="3"/>
        <v>144.90880833333333</v>
      </c>
      <c r="H51" s="3" t="str">
        <f t="shared" si="4"/>
        <v>[50] = {["comment"] = "UAM*T*240.00/2.50 13-34-17.6500N 144-54-31.7100E", ["callsignStr"] = "FAXEL", ["latitude"] = 13.5715694444444, ["longitude"] = 144.908808333333 },</v>
      </c>
    </row>
    <row r="52" spans="1:8" ht="29.4" thickBot="1" x14ac:dyDescent="0.35">
      <c r="A52" s="2" t="s">
        <v>130</v>
      </c>
      <c r="B52" s="2" t="s">
        <v>33</v>
      </c>
      <c r="C52" s="2" t="s">
        <v>131</v>
      </c>
      <c r="D52" t="str">
        <f t="shared" si="0"/>
        <v>13-34-50.5900N</v>
      </c>
      <c r="E52" t="str">
        <f t="shared" si="1"/>
        <v>144-54-52.3000E</v>
      </c>
      <c r="F52">
        <f t="shared" si="2"/>
        <v>13.580719444444444</v>
      </c>
      <c r="G52">
        <f t="shared" si="3"/>
        <v>144.91452777777778</v>
      </c>
      <c r="H52" s="3" t="str">
        <f t="shared" si="4"/>
        <v>[51] = {["comment"] = "UNZ*C*052.54/13.00 13-34-50.5900N 144-54-52.3000E", ["callsignStr"] = "FAYZR", ["latitude"] = 13.5807194444444, ["longitude"] = 144.914527777778 },</v>
      </c>
    </row>
    <row r="53" spans="1:8" ht="29.4" thickBot="1" x14ac:dyDescent="0.35">
      <c r="A53" s="2" t="s">
        <v>132</v>
      </c>
      <c r="B53" s="2" t="s">
        <v>33</v>
      </c>
      <c r="C53" s="2" t="s">
        <v>133</v>
      </c>
      <c r="D53" t="str">
        <f t="shared" si="0"/>
        <v>13-22-06.6200N</v>
      </c>
      <c r="E53" t="str">
        <f t="shared" si="1"/>
        <v>144-47-22.5300E</v>
      </c>
      <c r="F53">
        <f t="shared" si="2"/>
        <v>13.368505555555556</v>
      </c>
      <c r="G53">
        <f t="shared" si="3"/>
        <v>144.78959166666667</v>
      </c>
      <c r="H53" s="3" t="str">
        <f t="shared" si="4"/>
        <v>[52] = {["comment"] = "13-22-06.6200N 144-47-22.5300E", ["callsignStr"] = "FEGUT", ["latitude"] = 13.3685055555556, ["longitude"] = 144.789591666667 },</v>
      </c>
    </row>
    <row r="54" spans="1:8" ht="29.4" thickBot="1" x14ac:dyDescent="0.35">
      <c r="A54" s="2" t="s">
        <v>134</v>
      </c>
      <c r="B54" s="2" t="s">
        <v>33</v>
      </c>
      <c r="C54" s="2" t="s">
        <v>135</v>
      </c>
      <c r="D54" t="str">
        <f t="shared" si="0"/>
        <v>13-34-04.1800N</v>
      </c>
      <c r="E54" t="str">
        <f t="shared" si="1"/>
        <v>144-58-24.1900E</v>
      </c>
      <c r="F54">
        <f t="shared" si="2"/>
        <v>13.567827777777778</v>
      </c>
      <c r="G54">
        <f t="shared" si="3"/>
        <v>144.97338611111113</v>
      </c>
      <c r="H54" s="3" t="str">
        <f t="shared" si="4"/>
        <v>[53] = {["comment"] = "UNZ*C*062.23/15.58 13-34-04.1800N 144-58-24.1900E", ["callsignStr"] = "FIBEE", ["latitude"] = 13.5678277777778, ["longitude"] = 144.973386111111 },</v>
      </c>
    </row>
    <row r="55" spans="1:8" ht="29.4" thickBot="1" x14ac:dyDescent="0.35">
      <c r="A55" s="2" t="s">
        <v>136</v>
      </c>
      <c r="B55" s="2" t="s">
        <v>33</v>
      </c>
      <c r="C55" s="2" t="s">
        <v>137</v>
      </c>
      <c r="D55" t="str">
        <f t="shared" si="0"/>
        <v>13-18-20.7000N</v>
      </c>
      <c r="E55" t="str">
        <f t="shared" si="1"/>
        <v>144-45-26.5300E</v>
      </c>
      <c r="F55">
        <f t="shared" si="2"/>
        <v>13.305750000000002</v>
      </c>
      <c r="G55">
        <f t="shared" si="3"/>
        <v>144.75736944444444</v>
      </c>
      <c r="H55" s="3" t="str">
        <f t="shared" si="4"/>
        <v>[54] = {["comment"] = "UNZ*C*169.00/9.00 13-18-20.7000N 144-45-26.5300E", ["callsignStr"] = "FIGOR", ["latitude"] = 13.30575, ["longitude"] = 144.757369444444 },</v>
      </c>
    </row>
    <row r="56" spans="1:8" ht="29.4" thickBot="1" x14ac:dyDescent="0.35">
      <c r="A56" s="2" t="s">
        <v>138</v>
      </c>
      <c r="B56" s="2" t="s">
        <v>33</v>
      </c>
      <c r="C56" s="2" t="s">
        <v>139</v>
      </c>
      <c r="D56" t="str">
        <f t="shared" si="0"/>
        <v>13-26-22.5200N</v>
      </c>
      <c r="E56" t="str">
        <f t="shared" si="1"/>
        <v>144-42-09.7800E</v>
      </c>
      <c r="F56">
        <f t="shared" si="2"/>
        <v>13.439588888888888</v>
      </c>
      <c r="G56">
        <f t="shared" si="3"/>
        <v>144.70271666666665</v>
      </c>
      <c r="H56" s="3" t="str">
        <f t="shared" si="4"/>
        <v>[55] = {["comment"] = "13-26-22.5200N 144-42-09.7800E", ["callsignStr"] = "FISON", ["latitude"] = 13.4395888888889, ["longitude"] = 144.702716666667 },</v>
      </c>
    </row>
    <row r="57" spans="1:8" ht="29.4" thickBot="1" x14ac:dyDescent="0.35">
      <c r="A57" s="2" t="s">
        <v>140</v>
      </c>
      <c r="B57" s="2" t="s">
        <v>33</v>
      </c>
      <c r="C57" s="2" t="s">
        <v>141</v>
      </c>
      <c r="D57" t="str">
        <f t="shared" si="0"/>
        <v>13-24-10.3400N</v>
      </c>
      <c r="E57" t="str">
        <f t="shared" si="1"/>
        <v>144-37-33.1300E</v>
      </c>
      <c r="F57">
        <f t="shared" si="2"/>
        <v>13.402872222222223</v>
      </c>
      <c r="G57">
        <f t="shared" si="3"/>
        <v>144.62586944444445</v>
      </c>
      <c r="H57" s="3" t="str">
        <f t="shared" si="4"/>
        <v>[56] = {["comment"] = "UNZ*C*241.83/7.00 13-24-10.3400N 144-37-33.1300E", ["callsignStr"] = "FLAKE", ["latitude"] = 13.4028722222222, ["longitude"] = 144.625869444444 },</v>
      </c>
    </row>
    <row r="58" spans="1:8" ht="29.4" thickBot="1" x14ac:dyDescent="0.35">
      <c r="A58" s="2" t="s">
        <v>142</v>
      </c>
      <c r="B58" s="2" t="s">
        <v>33</v>
      </c>
      <c r="C58" s="2" t="s">
        <v>143</v>
      </c>
      <c r="D58" t="str">
        <f t="shared" si="0"/>
        <v>13-33-10.9400N</v>
      </c>
      <c r="E58" t="str">
        <f t="shared" si="1"/>
        <v>145-16-40.7800E</v>
      </c>
      <c r="F58">
        <f t="shared" si="2"/>
        <v>13.55303888888889</v>
      </c>
      <c r="G58">
        <f t="shared" si="3"/>
        <v>145.27799444444446</v>
      </c>
      <c r="H58" s="3" t="str">
        <f t="shared" si="4"/>
        <v>[57] = {["comment"] = "13-33-10.9400N 145-16-40.7800E", ["callsignStr"] = "FOKAI", ["latitude"] = 13.5530388888889, ["longitude"] = 145.277994444444 },</v>
      </c>
    </row>
    <row r="59" spans="1:8" ht="29.4" thickBot="1" x14ac:dyDescent="0.35">
      <c r="A59" s="2" t="s">
        <v>144</v>
      </c>
      <c r="B59" s="2" t="s">
        <v>33</v>
      </c>
      <c r="C59" s="2" t="s">
        <v>145</v>
      </c>
      <c r="D59" t="str">
        <f t="shared" si="0"/>
        <v>13-18-00.7100N</v>
      </c>
      <c r="E59" t="str">
        <f t="shared" si="1"/>
        <v>144-26-57.3700E</v>
      </c>
      <c r="F59">
        <f t="shared" si="2"/>
        <v>13.300197222222224</v>
      </c>
      <c r="G59">
        <f t="shared" si="3"/>
        <v>144.44926944444444</v>
      </c>
      <c r="H59" s="3" t="str">
        <f t="shared" si="4"/>
        <v>[58] = {["comment"] = "UNZ*C*239.00/19.00 13-18-00.7100N 144-26-57.3700E", ["callsignStr"] = "FOLAP", ["latitude"] = 13.3001972222222, ["longitude"] = 144.449269444444 },</v>
      </c>
    </row>
    <row r="60" spans="1:8" ht="29.4" thickBot="1" x14ac:dyDescent="0.35">
      <c r="A60" s="2" t="s">
        <v>146</v>
      </c>
      <c r="B60" s="2" t="s">
        <v>33</v>
      </c>
      <c r="C60" s="2" t="s">
        <v>147</v>
      </c>
      <c r="D60" t="str">
        <f t="shared" si="0"/>
        <v>13-32-50.2800N</v>
      </c>
      <c r="E60" t="str">
        <f t="shared" si="1"/>
        <v>144-50-07.9200E</v>
      </c>
      <c r="F60">
        <f t="shared" si="2"/>
        <v>13.5473</v>
      </c>
      <c r="G60">
        <f t="shared" si="3"/>
        <v>144.83553333333333</v>
      </c>
      <c r="H60" s="3" t="str">
        <f t="shared" si="4"/>
        <v>[59] = {["comment"] = "UAM*T*246.00/7.00 13-32-50.2800N 144-50-07.9200E", ["callsignStr"] = "FOMOD", ["latitude"] = 13.5473, ["longitude"] = 144.835533333333 },</v>
      </c>
    </row>
    <row r="61" spans="1:8" ht="29.4" thickBot="1" x14ac:dyDescent="0.35">
      <c r="A61" s="2" t="s">
        <v>148</v>
      </c>
      <c r="B61" s="2" t="s">
        <v>33</v>
      </c>
      <c r="C61" s="2" t="s">
        <v>149</v>
      </c>
      <c r="D61" t="str">
        <f t="shared" si="0"/>
        <v>13-45-44.5300N</v>
      </c>
      <c r="E61" t="str">
        <f t="shared" si="1"/>
        <v>145-10-44.7100E</v>
      </c>
      <c r="F61">
        <f t="shared" si="2"/>
        <v>13.762369444444445</v>
      </c>
      <c r="G61">
        <f t="shared" si="3"/>
        <v>145.1790861111111</v>
      </c>
      <c r="H61" s="3" t="str">
        <f t="shared" si="4"/>
        <v>[60] = {["comment"] = "UAM*T*051.00/17.00 13-45-44.5300N 145-10-44.7100E", ["callsignStr"] = "FOVEM", ["latitude"] = 13.7623694444444, ["longitude"] = 145.179086111111 },</v>
      </c>
    </row>
    <row r="62" spans="1:8" ht="29.4" thickBot="1" x14ac:dyDescent="0.35">
      <c r="A62" s="2" t="s">
        <v>150</v>
      </c>
      <c r="B62" s="2" t="s">
        <v>33</v>
      </c>
      <c r="C62" s="2" t="s">
        <v>151</v>
      </c>
      <c r="D62" t="str">
        <f t="shared" si="0"/>
        <v>13-39-31.6200N</v>
      </c>
      <c r="E62" t="str">
        <f t="shared" si="1"/>
        <v>144-57-52.4300E</v>
      </c>
      <c r="F62">
        <f t="shared" si="2"/>
        <v>13.658783333333334</v>
      </c>
      <c r="G62">
        <f t="shared" si="3"/>
        <v>144.96456388888888</v>
      </c>
      <c r="H62" s="3" t="str">
        <f t="shared" si="4"/>
        <v>[61] = {["comment"] = "13-39-31.6200N 144-57-52.4300E", ["callsignStr"] = "GAVDE", ["latitude"] = 13.6587833333333, ["longitude"] = 144.964563888889 },</v>
      </c>
    </row>
    <row r="63" spans="1:8" ht="29.4" thickBot="1" x14ac:dyDescent="0.35">
      <c r="A63" s="2" t="s">
        <v>152</v>
      </c>
      <c r="B63" s="2" t="s">
        <v>33</v>
      </c>
      <c r="C63" s="2" t="s">
        <v>153</v>
      </c>
      <c r="D63" t="str">
        <f t="shared" si="0"/>
        <v>13-05-07.4800N</v>
      </c>
      <c r="E63" t="str">
        <f t="shared" si="1"/>
        <v>145-11-52.1100E</v>
      </c>
      <c r="F63">
        <f t="shared" si="2"/>
        <v>13.085411111111112</v>
      </c>
      <c r="G63">
        <f t="shared" si="3"/>
        <v>145.19780833333334</v>
      </c>
      <c r="H63" s="3" t="str">
        <f t="shared" si="4"/>
        <v>[62] = {["comment"] = "UNZ*C*127.00/35.00 13-05-07.4800N 145-11-52.1100E", ["callsignStr"] = "GUMGE", ["latitude"] = 13.0854111111111, ["longitude"] = 145.197808333333 },</v>
      </c>
    </row>
    <row r="64" spans="1:8" ht="29.4" thickBot="1" x14ac:dyDescent="0.35">
      <c r="A64" s="2" t="s">
        <v>154</v>
      </c>
      <c r="B64" s="2" t="s">
        <v>33</v>
      </c>
      <c r="C64" s="2" t="s">
        <v>155</v>
      </c>
      <c r="D64" t="str">
        <f t="shared" si="0"/>
        <v>13-42-59.0800N</v>
      </c>
      <c r="E64" t="str">
        <f t="shared" si="1"/>
        <v>145-06-35.6300E</v>
      </c>
      <c r="F64">
        <f t="shared" si="2"/>
        <v>13.71641111111111</v>
      </c>
      <c r="G64">
        <f t="shared" si="3"/>
        <v>145.10989722222223</v>
      </c>
      <c r="H64" s="3" t="str">
        <f t="shared" si="4"/>
        <v>[63] = {["comment"] = "UNZ*C*052.55/27.00 13-42-59.0800N 145-06-35.6300E", ["callsignStr"] = "HAAMR", ["latitude"] = 13.7164111111111, ["longitude"] = 145.109897222222 },</v>
      </c>
    </row>
    <row r="65" spans="1:8" ht="29.4" thickBot="1" x14ac:dyDescent="0.35">
      <c r="A65" s="2" t="s">
        <v>156</v>
      </c>
      <c r="B65" s="2" t="s">
        <v>33</v>
      </c>
      <c r="C65" s="2" t="s">
        <v>157</v>
      </c>
      <c r="D65" t="str">
        <f t="shared" si="0"/>
        <v>13-43-38.3500N</v>
      </c>
      <c r="E65" t="str">
        <f t="shared" si="1"/>
        <v>144-55-24.1500E</v>
      </c>
      <c r="F65">
        <f t="shared" si="2"/>
        <v>13.727319444444445</v>
      </c>
      <c r="G65">
        <f t="shared" si="3"/>
        <v>144.92337499999999</v>
      </c>
      <c r="H65" s="3" t="str">
        <f t="shared" si="4"/>
        <v>[64] = {["comment"] = "13-43-38.3500N 144-55-24.1500E", ["callsignStr"] = "HAGIX", ["latitude"] = 13.7273194444444, ["longitude"] = 144.923375 },</v>
      </c>
    </row>
    <row r="66" spans="1:8" ht="29.4" thickBot="1" x14ac:dyDescent="0.35">
      <c r="A66" s="2" t="s">
        <v>158</v>
      </c>
      <c r="B66" s="2" t="s">
        <v>33</v>
      </c>
      <c r="C66" s="2" t="s">
        <v>159</v>
      </c>
      <c r="D66" t="str">
        <f t="shared" si="0"/>
        <v>13-34-03.1600N</v>
      </c>
      <c r="E66" t="str">
        <f t="shared" si="1"/>
        <v>144-42-09.3500E</v>
      </c>
      <c r="F66">
        <f t="shared" si="2"/>
        <v>13.567544444444444</v>
      </c>
      <c r="G66">
        <f t="shared" si="3"/>
        <v>144.70259722222221</v>
      </c>
      <c r="H66" s="3" t="str">
        <f t="shared" si="4"/>
        <v>[65] = {["comment"] = "UNZ*C*343.00/7.00 13-34-03.1600N 144-42-09.3500E", ["callsignStr"] = "HAMAL", ["latitude"] = 13.5675444444444, ["longitude"] = 144.702597222222 },</v>
      </c>
    </row>
    <row r="67" spans="1:8" ht="29.4" thickBot="1" x14ac:dyDescent="0.35">
      <c r="A67" s="2" t="s">
        <v>160</v>
      </c>
      <c r="B67" s="2" t="s">
        <v>33</v>
      </c>
      <c r="C67" s="2" t="s">
        <v>161</v>
      </c>
      <c r="D67" t="str">
        <f t="shared" ref="D67:D130" si="5">findLatitude(C67)</f>
        <v>13-26-27.4200N</v>
      </c>
      <c r="E67" t="str">
        <f t="shared" ref="E67:E130" si="6">findLongitude(C67)</f>
        <v>144-42-03.7400E</v>
      </c>
      <c r="F67">
        <f t="shared" ref="F67:F130" si="7">VALUE(MID(D67,1,2))+VALUE(MID(D67,4,2))/60+VALUE(MID(D67,7,7))/(1*3600)</f>
        <v>13.440950000000001</v>
      </c>
      <c r="G67">
        <f t="shared" ref="G67:G130" si="8">VALUE(MID(E67,1,3))+VALUE(MID(E67,5,2))/60+VALUE(MID(E67,8,7))/(1*3600)</f>
        <v>144.70103888888889</v>
      </c>
      <c r="H67" s="3" t="str">
        <f t="shared" ref="H67:H130" si="9">CONCATENATE("[",ROW()+$H$1-1,"] = {","[""comment""] = """,C67,""", ","[""callsignStr""] = """,A67,""", ","[""latitude""] = ",F67,", ","[""longitude""] = ",G67," },")</f>
        <v>[66] = {["comment"] = "GUM*LD*242.95/7.34 13-26-27.4200N 144-42-03.7400E", ["callsignStr"] = "HARLO", ["latitude"] = 13.44095, ["longitude"] = 144.701038888889 },</v>
      </c>
    </row>
    <row r="68" spans="1:8" ht="29.4" thickBot="1" x14ac:dyDescent="0.35">
      <c r="A68" s="2" t="s">
        <v>162</v>
      </c>
      <c r="B68" s="2" t="s">
        <v>33</v>
      </c>
      <c r="C68" s="2" t="s">
        <v>163</v>
      </c>
      <c r="D68" t="str">
        <f t="shared" si="5"/>
        <v>13-26-08.1400N</v>
      </c>
      <c r="E68" t="str">
        <f t="shared" si="6"/>
        <v>144-55-54.3500E</v>
      </c>
      <c r="F68">
        <f t="shared" si="7"/>
        <v>13.435594444444444</v>
      </c>
      <c r="G68">
        <f t="shared" si="8"/>
        <v>144.93176388888887</v>
      </c>
      <c r="H68" s="3" t="str">
        <f t="shared" si="9"/>
        <v>[67] = {["comment"] = "13-26-08.1400N 144-55-54.3500E", ["callsignStr"] = "HASAK", ["latitude"] = 13.4355944444444, ["longitude"] = 144.931763888889 },</v>
      </c>
    </row>
    <row r="69" spans="1:8" ht="29.4" thickBot="1" x14ac:dyDescent="0.35">
      <c r="A69" s="2" t="s">
        <v>164</v>
      </c>
      <c r="B69" s="2" t="s">
        <v>33</v>
      </c>
      <c r="C69" s="2" t="s">
        <v>165</v>
      </c>
      <c r="D69" t="str">
        <f t="shared" si="5"/>
        <v>13-37-29.8200N</v>
      </c>
      <c r="E69" t="str">
        <f t="shared" si="6"/>
        <v>145-01-03.2800E</v>
      </c>
      <c r="F69">
        <f t="shared" si="7"/>
        <v>13.62495</v>
      </c>
      <c r="G69">
        <f t="shared" si="8"/>
        <v>145.0175777777778</v>
      </c>
      <c r="H69" s="3" t="str">
        <f t="shared" si="9"/>
        <v>[68] = {["comment"] = "UAM*T*062.09/4.61 UNZ*C*056.47/19.48 YIG*LG*063.89 13-37-29.8200N 145-01-03.2800E", ["callsignStr"] = "HASRA", ["latitude"] = 13.62495, ["longitude"] = 145.017577777778 },</v>
      </c>
    </row>
    <row r="70" spans="1:8" ht="29.4" thickBot="1" x14ac:dyDescent="0.35">
      <c r="A70" s="2" t="s">
        <v>166</v>
      </c>
      <c r="B70" s="2" t="s">
        <v>33</v>
      </c>
      <c r="C70" s="2" t="s">
        <v>167</v>
      </c>
      <c r="D70" t="str">
        <f t="shared" si="5"/>
        <v>13-24-16.5500N</v>
      </c>
      <c r="E70" t="str">
        <f t="shared" si="6"/>
        <v>144-24-44.6800E</v>
      </c>
      <c r="F70">
        <f t="shared" si="7"/>
        <v>13.404597222222222</v>
      </c>
      <c r="G70">
        <f t="shared" si="8"/>
        <v>144.41241111111111</v>
      </c>
      <c r="H70" s="3" t="str">
        <f t="shared" si="9"/>
        <v>[69] = {["comment"] = "UNZ*C*259.00/19.00 13-24-16.5500N 144-24-44.6800E", ["callsignStr"] = "HESNA", ["latitude"] = 13.4045972222222, ["longitude"] = 144.412411111111 },</v>
      </c>
    </row>
    <row r="71" spans="1:8" ht="29.4" thickBot="1" x14ac:dyDescent="0.35">
      <c r="A71" s="2" t="s">
        <v>168</v>
      </c>
      <c r="B71" s="2" t="s">
        <v>33</v>
      </c>
      <c r="C71" s="2" t="s">
        <v>169</v>
      </c>
      <c r="D71" t="str">
        <f t="shared" si="5"/>
        <v>14-47-29.6000N</v>
      </c>
      <c r="E71" t="str">
        <f t="shared" si="6"/>
        <v>144-48-37.2200E</v>
      </c>
      <c r="F71">
        <f t="shared" si="7"/>
        <v>14.791555555555556</v>
      </c>
      <c r="G71">
        <f t="shared" si="8"/>
        <v>144.81033888888891</v>
      </c>
      <c r="H71" s="3" t="str">
        <f t="shared" si="9"/>
        <v>[70] = {["comment"] = "14-47-29.6000N 144-48-37.2200E", ["callsignStr"] = "HEXOR", ["latitude"] = 14.7915555555556, ["longitude"] = 144.810338888889 },</v>
      </c>
    </row>
    <row r="72" spans="1:8" ht="29.4" thickBot="1" x14ac:dyDescent="0.35">
      <c r="A72" s="2" t="s">
        <v>18</v>
      </c>
      <c r="B72" s="2" t="s">
        <v>33</v>
      </c>
      <c r="C72" s="2" t="s">
        <v>170</v>
      </c>
      <c r="D72" t="str">
        <f t="shared" si="5"/>
        <v>13-28-20.9300N</v>
      </c>
      <c r="E72" t="str">
        <f t="shared" si="6"/>
        <v>144-40-56.1400E</v>
      </c>
      <c r="F72">
        <f t="shared" si="7"/>
        <v>13.472480555555556</v>
      </c>
      <c r="G72">
        <f t="shared" si="8"/>
        <v>144.6822611111111</v>
      </c>
      <c r="H72" s="3" t="str">
        <f t="shared" si="9"/>
        <v>[71] = {["comment"] = "UAM*T*243.37/17.00 13-28-20.9300N 144-40-56.1400E", ["callsignStr"] = "HILRI", ["latitude"] = 13.4724805555556, ["longitude"] = 144.682261111111 },</v>
      </c>
    </row>
    <row r="73" spans="1:8" ht="29.4" thickBot="1" x14ac:dyDescent="0.35">
      <c r="A73" s="2" t="s">
        <v>171</v>
      </c>
      <c r="B73" s="2" t="s">
        <v>33</v>
      </c>
      <c r="C73" s="2" t="s">
        <v>172</v>
      </c>
      <c r="D73" t="str">
        <f t="shared" si="5"/>
        <v>13-37-53.6700N</v>
      </c>
      <c r="E73" t="str">
        <f t="shared" si="6"/>
        <v>145-01-03.7100E</v>
      </c>
      <c r="F73">
        <f t="shared" si="7"/>
        <v>13.631575</v>
      </c>
      <c r="G73">
        <f t="shared" si="8"/>
        <v>145.01769722222224</v>
      </c>
      <c r="H73" s="3" t="str">
        <f t="shared" si="9"/>
        <v>[72] = {["comment"] = "UNZ*C*055.50/19.70 13-37-53.6700N 145-01-03.7100E", ["callsignStr"] = "HIPRI", ["latitude"] = 13.631575, ["longitude"] = 145.017697222222 },</v>
      </c>
    </row>
    <row r="74" spans="1:8" ht="29.4" thickBot="1" x14ac:dyDescent="0.35">
      <c r="A74" s="2" t="s">
        <v>173</v>
      </c>
      <c r="B74" s="2" t="s">
        <v>33</v>
      </c>
      <c r="C74" s="2" t="s">
        <v>174</v>
      </c>
      <c r="D74" t="str">
        <f t="shared" si="5"/>
        <v>15-10-05.2100N</v>
      </c>
      <c r="E74" t="str">
        <f t="shared" si="6"/>
        <v>145-51-11.4000E</v>
      </c>
      <c r="F74">
        <f t="shared" si="7"/>
        <v>15.168113888888888</v>
      </c>
      <c r="G74">
        <f t="shared" si="8"/>
        <v>145.85316666666665</v>
      </c>
      <c r="H74" s="3" t="str">
        <f t="shared" si="9"/>
        <v>[73] = {["comment"] = "SN*R*065.76 GSN*LD/6.90 15-10-05.2100N 145-51-11.4000E", ["callsignStr"] = "HOGOS", ["latitude"] = 15.1681138888889, ["longitude"] = 145.853166666667 },</v>
      </c>
    </row>
    <row r="75" spans="1:8" ht="29.4" thickBot="1" x14ac:dyDescent="0.35">
      <c r="A75" s="2" t="s">
        <v>175</v>
      </c>
      <c r="B75" s="2" t="s">
        <v>33</v>
      </c>
      <c r="C75" s="2" t="s">
        <v>176</v>
      </c>
      <c r="D75" t="str">
        <f t="shared" si="5"/>
        <v>14-01-18.7000N</v>
      </c>
      <c r="E75" t="str">
        <f t="shared" si="6"/>
        <v>146-20-39.6000E</v>
      </c>
      <c r="F75">
        <f t="shared" si="7"/>
        <v>14.021861111111113</v>
      </c>
      <c r="G75">
        <f t="shared" si="8"/>
        <v>146.34433333333334</v>
      </c>
      <c r="H75" s="3" t="str">
        <f t="shared" si="9"/>
        <v>[74] = {["comment"] = "UNZ*C*068.00/100.00 14-01-18.7000N 146-20-39.6000E", ["callsignStr"] = "HOPPY", ["latitude"] = 14.0218611111111, ["longitude"] = 146.344333333333 },</v>
      </c>
    </row>
    <row r="76" spans="1:8" ht="29.4" thickBot="1" x14ac:dyDescent="0.35">
      <c r="A76" s="2" t="s">
        <v>177</v>
      </c>
      <c r="B76" s="2" t="s">
        <v>33</v>
      </c>
      <c r="C76" s="2" t="s">
        <v>178</v>
      </c>
      <c r="D76" t="str">
        <f t="shared" si="5"/>
        <v>13-27-08.4500N</v>
      </c>
      <c r="E76" t="str">
        <f t="shared" si="6"/>
        <v>144-43-50.1100E</v>
      </c>
      <c r="F76">
        <f t="shared" si="7"/>
        <v>13.452347222222221</v>
      </c>
      <c r="G76">
        <f t="shared" si="8"/>
        <v>144.73058611111111</v>
      </c>
      <c r="H76" s="3" t="str">
        <f t="shared" si="9"/>
        <v>[75] = {["comment"] = "13-27-08.4500N 144-43-50.1100E", ["callsignStr"] = "HUKES", ["latitude"] = 13.4523472222222, ["longitude"] = 144.730586111111 },</v>
      </c>
    </row>
    <row r="77" spans="1:8" ht="29.4" thickBot="1" x14ac:dyDescent="0.35">
      <c r="A77" s="2" t="s">
        <v>179</v>
      </c>
      <c r="B77" s="2" t="s">
        <v>33</v>
      </c>
      <c r="C77" s="2" t="s">
        <v>180</v>
      </c>
      <c r="D77" t="str">
        <f t="shared" si="5"/>
        <v>13-29-04.0900N</v>
      </c>
      <c r="E77" t="str">
        <f t="shared" si="6"/>
        <v>144-40-37.0700E</v>
      </c>
      <c r="F77">
        <f t="shared" si="7"/>
        <v>13.484469444444443</v>
      </c>
      <c r="G77">
        <f t="shared" si="8"/>
        <v>144.67696388888888</v>
      </c>
      <c r="H77" s="3" t="str">
        <f t="shared" si="9"/>
        <v>[76] = {["comment"] = "UAM*T*246.00/17.00 13-29-04.0900N 144-40-37.0700E", ["callsignStr"] = "HURUG", ["latitude"] = 13.4844694444444, ["longitude"] = 144.676963888889 },</v>
      </c>
    </row>
    <row r="78" spans="1:8" ht="29.4" thickBot="1" x14ac:dyDescent="0.35">
      <c r="A78" s="2" t="s">
        <v>181</v>
      </c>
      <c r="B78" s="2" t="s">
        <v>33</v>
      </c>
      <c r="C78" s="2" t="s">
        <v>182</v>
      </c>
      <c r="D78" t="str">
        <f t="shared" si="5"/>
        <v>13-22-18.1300N</v>
      </c>
      <c r="E78" t="str">
        <f t="shared" si="6"/>
        <v>144-47-31.1500E</v>
      </c>
      <c r="F78">
        <f t="shared" si="7"/>
        <v>13.371702777777779</v>
      </c>
      <c r="G78">
        <f t="shared" si="8"/>
        <v>144.7919861111111</v>
      </c>
      <c r="H78" s="3" t="str">
        <f t="shared" si="9"/>
        <v>[77] = {["comment"] = "13-22-18.1300N 144-47-31.1500E", ["callsignStr"] = "ICAKE", ["latitude"] = 13.3717027777778, ["longitude"] = 144.791986111111 },</v>
      </c>
    </row>
    <row r="79" spans="1:8" ht="29.4" thickBot="1" x14ac:dyDescent="0.35">
      <c r="A79" s="2" t="s">
        <v>183</v>
      </c>
      <c r="B79" s="2" t="s">
        <v>33</v>
      </c>
      <c r="C79" s="2" t="s">
        <v>184</v>
      </c>
      <c r="D79" t="str">
        <f t="shared" si="5"/>
        <v>13-24-21.2700N</v>
      </c>
      <c r="E79" t="str">
        <f t="shared" si="6"/>
        <v>144-37-28.5600E</v>
      </c>
      <c r="F79">
        <f t="shared" si="7"/>
        <v>13.405908333333334</v>
      </c>
      <c r="G79">
        <f t="shared" si="8"/>
        <v>144.62460000000002</v>
      </c>
      <c r="H79" s="3" t="str">
        <f t="shared" si="9"/>
        <v>[78] = {["comment"] = "GUM*LD*SW CRS/12.12 13-24-21.2700N 144-37-28.5600E", ["callsignStr"] = "IKOVY", ["latitude"] = 13.4059083333333, ["longitude"] = 144.6246 },</v>
      </c>
    </row>
    <row r="80" spans="1:8" ht="29.4" thickBot="1" x14ac:dyDescent="0.35">
      <c r="A80" s="2" t="s">
        <v>185</v>
      </c>
      <c r="B80" s="2" t="s">
        <v>33</v>
      </c>
      <c r="C80" s="2" t="s">
        <v>186</v>
      </c>
      <c r="D80" t="str">
        <f t="shared" si="5"/>
        <v>14-28-19.4200N</v>
      </c>
      <c r="E80" t="str">
        <f t="shared" si="6"/>
        <v>143-50-30.6100E</v>
      </c>
      <c r="F80">
        <f t="shared" si="7"/>
        <v>14.472061111111111</v>
      </c>
      <c r="G80">
        <f t="shared" si="8"/>
        <v>143.84183611111112</v>
      </c>
      <c r="H80" s="3" t="str">
        <f t="shared" si="9"/>
        <v>[79] = {["comment"] = "14-28-19.4200N 143-50-30.6100E", ["callsignStr"] = "IMEDE", ["latitude"] = 14.4720611111111, ["longitude"] = 143.841836111111 },</v>
      </c>
    </row>
    <row r="81" spans="1:8" ht="29.4" thickBot="1" x14ac:dyDescent="0.35">
      <c r="A81" s="2" t="s">
        <v>187</v>
      </c>
      <c r="B81" s="2" t="s">
        <v>33</v>
      </c>
      <c r="C81" s="2" t="s">
        <v>188</v>
      </c>
      <c r="D81" t="str">
        <f t="shared" si="5"/>
        <v>13-35-48.1800N</v>
      </c>
      <c r="E81" t="str">
        <f t="shared" si="6"/>
        <v>144-57-10.9200E</v>
      </c>
      <c r="F81">
        <f t="shared" si="7"/>
        <v>13.596716666666667</v>
      </c>
      <c r="G81">
        <f t="shared" si="8"/>
        <v>144.95303333333331</v>
      </c>
      <c r="H81" s="3" t="str">
        <f t="shared" si="9"/>
        <v>[80] = {["comment"] = "UAM*T* /0.50 YIG*LG*063.89 13-35-48.1800N 144-57-10.9200E", ["callsignStr"] = "INIME", ["latitude"] = 13.5967166666667, ["longitude"] = 144.953033333333 },</v>
      </c>
    </row>
    <row r="82" spans="1:8" ht="29.4" thickBot="1" x14ac:dyDescent="0.35">
      <c r="A82" s="2" t="s">
        <v>189</v>
      </c>
      <c r="B82" s="2" t="s">
        <v>33</v>
      </c>
      <c r="C82" s="2" t="s">
        <v>190</v>
      </c>
      <c r="D82" t="str">
        <f t="shared" si="5"/>
        <v>13-41-47.7400N</v>
      </c>
      <c r="E82" t="str">
        <f t="shared" si="6"/>
        <v>145-10-52.4700E</v>
      </c>
      <c r="F82">
        <f t="shared" si="7"/>
        <v>13.696594444444445</v>
      </c>
      <c r="G82">
        <f t="shared" si="8"/>
        <v>145.18124166666666</v>
      </c>
      <c r="H82" s="3" t="str">
        <f t="shared" si="9"/>
        <v>[81] = {["comment"] = "13-41-47.7400N 145-10-52.4700E", ["callsignStr"] = "ISLAA", ["latitude"] = 13.6965944444444, ["longitude"] = 145.181241666667 },</v>
      </c>
    </row>
    <row r="83" spans="1:8" ht="29.4" thickBot="1" x14ac:dyDescent="0.35">
      <c r="A83" s="2" t="s">
        <v>191</v>
      </c>
      <c r="B83" s="2" t="s">
        <v>33</v>
      </c>
      <c r="C83" s="2" t="s">
        <v>192</v>
      </c>
      <c r="D83" t="str">
        <f t="shared" si="5"/>
        <v>13-34-31.9400N</v>
      </c>
      <c r="E83" t="str">
        <f t="shared" si="6"/>
        <v>144-54-24.9000E</v>
      </c>
      <c r="F83">
        <f t="shared" si="7"/>
        <v>13.575538888888889</v>
      </c>
      <c r="G83">
        <f t="shared" si="8"/>
        <v>144.90691666666666</v>
      </c>
      <c r="H83" s="3" t="str">
        <f t="shared" si="9"/>
        <v>[82] = {["comment"] = "UAM*T*246.00/2.50 13-34-31.9400N 144-54-24.9000E", ["callsignStr"] = "ITUME", ["latitude"] = 13.5755388888889, ["longitude"] = 144.906916666667 },</v>
      </c>
    </row>
    <row r="84" spans="1:8" ht="29.4" thickBot="1" x14ac:dyDescent="0.35">
      <c r="A84" s="2" t="s">
        <v>193</v>
      </c>
      <c r="B84" s="2" t="s">
        <v>33</v>
      </c>
      <c r="C84" s="2" t="s">
        <v>194</v>
      </c>
      <c r="D84" t="str">
        <f t="shared" si="5"/>
        <v>13-28-24.4700N</v>
      </c>
      <c r="E84" t="str">
        <f t="shared" si="6"/>
        <v>145-02-59.8000E</v>
      </c>
      <c r="F84">
        <f t="shared" si="7"/>
        <v>13.473463888888888</v>
      </c>
      <c r="G84">
        <f t="shared" si="8"/>
        <v>145.04994444444444</v>
      </c>
      <c r="H84" s="3" t="str">
        <f t="shared" si="9"/>
        <v>[83] = {["comment"] = "13-28-24.4700N 145-02-59.8000E", ["callsignStr"] = "JADKA", ["latitude"] = 13.4734638888889, ["longitude"] = 145.049944444444 },</v>
      </c>
    </row>
    <row r="85" spans="1:8" ht="29.4" thickBot="1" x14ac:dyDescent="0.35">
      <c r="A85" s="2" t="s">
        <v>195</v>
      </c>
      <c r="B85" s="2" t="s">
        <v>33</v>
      </c>
      <c r="C85" s="2" t="s">
        <v>196</v>
      </c>
      <c r="D85" t="str">
        <f t="shared" si="5"/>
        <v>13-31-45.8800N</v>
      </c>
      <c r="E85" t="str">
        <f t="shared" si="6"/>
        <v>144-50-48.4500E</v>
      </c>
      <c r="F85">
        <f t="shared" si="7"/>
        <v>13.529411111111111</v>
      </c>
      <c r="G85">
        <f t="shared" si="8"/>
        <v>144.84679166666669</v>
      </c>
      <c r="H85" s="3" t="str">
        <f t="shared" si="9"/>
        <v>[84] = {["comment"] = "UNZ*C*054.00/8.00 13-31-45.8800N 144-50-48.4500E", ["callsignStr"] = "JALOB", ["latitude"] = 13.5294111111111, ["longitude"] = 144.846791666667 },</v>
      </c>
    </row>
    <row r="86" spans="1:8" ht="29.4" thickBot="1" x14ac:dyDescent="0.35">
      <c r="A86" s="2" t="s">
        <v>197</v>
      </c>
      <c r="B86" s="2" t="s">
        <v>33</v>
      </c>
      <c r="C86" s="2" t="s">
        <v>198</v>
      </c>
      <c r="D86" t="str">
        <f t="shared" si="5"/>
        <v>14-45-54.2200N</v>
      </c>
      <c r="E86" t="str">
        <f t="shared" si="6"/>
        <v>144-27-04.3000E</v>
      </c>
      <c r="F86">
        <f t="shared" si="7"/>
        <v>14.765061111111111</v>
      </c>
      <c r="G86">
        <f t="shared" si="8"/>
        <v>144.45119444444444</v>
      </c>
      <c r="H86" s="3" t="str">
        <f t="shared" si="9"/>
        <v>[85] = {["comment"] = "14-45-54.2200N 144-27-04.3000E", ["callsignStr"] = "JARIN", ["latitude"] = 14.7650611111111, ["longitude"] = 144.451194444444 },</v>
      </c>
    </row>
    <row r="87" spans="1:8" ht="29.4" thickBot="1" x14ac:dyDescent="0.35">
      <c r="A87" s="2" t="s">
        <v>199</v>
      </c>
      <c r="B87" s="2" t="s">
        <v>33</v>
      </c>
      <c r="C87" s="2" t="s">
        <v>200</v>
      </c>
      <c r="D87" t="str">
        <f t="shared" si="5"/>
        <v>13-33-27.3200N</v>
      </c>
      <c r="E87" t="str">
        <f t="shared" si="6"/>
        <v>144-56-43.6600E</v>
      </c>
      <c r="F87">
        <f t="shared" si="7"/>
        <v>13.55758888888889</v>
      </c>
      <c r="G87">
        <f t="shared" si="8"/>
        <v>144.94546111111111</v>
      </c>
      <c r="H87" s="3" t="str">
        <f t="shared" si="9"/>
        <v>[86] = {["comment"] = "13-33-27.3200N 144-56-43.6600E", ["callsignStr"] = "JEVER", ["latitude"] = 13.5575888888889, ["longitude"] = 144.945461111111 },</v>
      </c>
    </row>
    <row r="88" spans="1:8" ht="29.4" thickBot="1" x14ac:dyDescent="0.35">
      <c r="A88" s="2" t="s">
        <v>201</v>
      </c>
      <c r="B88" s="2" t="s">
        <v>33</v>
      </c>
      <c r="C88" s="2" t="s">
        <v>202</v>
      </c>
      <c r="D88" t="str">
        <f t="shared" si="5"/>
        <v>13-35-46.5200N</v>
      </c>
      <c r="E88" t="str">
        <f t="shared" si="6"/>
        <v>144-57-12.2900E</v>
      </c>
      <c r="F88">
        <f t="shared" si="7"/>
        <v>13.596255555555556</v>
      </c>
      <c r="G88">
        <f t="shared" si="8"/>
        <v>144.95341388888889</v>
      </c>
      <c r="H88" s="3" t="str">
        <f t="shared" si="9"/>
        <v>[87] = {["comment"] = "UAM*T*051.00/0.50 13-35-46.5200N 144-57-12.2900E", ["callsignStr"] = "JIPRO", ["latitude"] = 13.5962555555556, ["longitude"] = 144.953413888889 },</v>
      </c>
    </row>
    <row r="89" spans="1:8" ht="29.4" thickBot="1" x14ac:dyDescent="0.35">
      <c r="A89" s="2" t="s">
        <v>203</v>
      </c>
      <c r="B89" s="2" t="s">
        <v>33</v>
      </c>
      <c r="C89" s="2" t="s">
        <v>204</v>
      </c>
      <c r="D89" t="str">
        <f t="shared" si="5"/>
        <v>13-30-42.0600N</v>
      </c>
      <c r="E89" t="str">
        <f t="shared" si="6"/>
        <v>144-35-27.0800E</v>
      </c>
      <c r="F89">
        <f t="shared" si="7"/>
        <v>13.511683333333334</v>
      </c>
      <c r="G89">
        <f t="shared" si="8"/>
        <v>144.59085555555558</v>
      </c>
      <c r="H89" s="3" t="str">
        <f t="shared" si="9"/>
        <v>[88] = {["comment"] = "UNZ*C*290.30/9.00 13-30-42.0600N 144-35-27.0800E", ["callsignStr"] = "JITNO", ["latitude"] = 13.5116833333333, ["longitude"] = 144.590855555556 },</v>
      </c>
    </row>
    <row r="90" spans="1:8" ht="29.4" thickBot="1" x14ac:dyDescent="0.35">
      <c r="A90" s="2" t="s">
        <v>205</v>
      </c>
      <c r="B90" s="2" t="s">
        <v>33</v>
      </c>
      <c r="C90" s="2" t="s">
        <v>206</v>
      </c>
      <c r="D90" t="str">
        <f t="shared" si="5"/>
        <v>13-31-26.0200N</v>
      </c>
      <c r="E90" t="str">
        <f t="shared" si="6"/>
        <v>144-53-13.2400E</v>
      </c>
      <c r="F90">
        <f t="shared" si="7"/>
        <v>13.523894444444446</v>
      </c>
      <c r="G90">
        <f t="shared" si="8"/>
        <v>144.88701111111109</v>
      </c>
      <c r="H90" s="3" t="str">
        <f t="shared" si="9"/>
        <v>[89] = {["comment"] = "13-31-26.0200N 144-53-13.2400E", ["callsignStr"] = "JOMAX", ["latitude"] = 13.5238944444444, ["longitude"] = 144.887011111111 },</v>
      </c>
    </row>
    <row r="91" spans="1:8" ht="29.4" thickBot="1" x14ac:dyDescent="0.35">
      <c r="A91" s="2" t="s">
        <v>10</v>
      </c>
      <c r="B91" s="2" t="s">
        <v>33</v>
      </c>
      <c r="C91" s="2" t="s">
        <v>207</v>
      </c>
      <c r="D91" t="str">
        <f t="shared" si="5"/>
        <v>13-32-44.3600N</v>
      </c>
      <c r="E91" t="str">
        <f t="shared" si="6"/>
        <v>144-50-11.2100E</v>
      </c>
      <c r="F91">
        <f t="shared" si="7"/>
        <v>13.545655555555555</v>
      </c>
      <c r="G91">
        <f t="shared" si="8"/>
        <v>144.83644722222223</v>
      </c>
      <c r="H91" s="3" t="str">
        <f t="shared" si="9"/>
        <v>[90] = {["comment"] = "UNZ*C*045.91/8.12 UAM*T*245.09/6.99 AND*LS*243.89 13-32-44.3600N 144-50-11.2100E", ["callsignStr"] = "JORUN", ["latitude"] = 13.5456555555556, ["longitude"] = 144.836447222222 },</v>
      </c>
    </row>
    <row r="92" spans="1:8" ht="29.4" thickBot="1" x14ac:dyDescent="0.35">
      <c r="A92" s="2" t="s">
        <v>208</v>
      </c>
      <c r="B92" s="2" t="s">
        <v>33</v>
      </c>
      <c r="C92" s="2" t="s">
        <v>209</v>
      </c>
      <c r="D92" t="str">
        <f t="shared" si="5"/>
        <v>11-32-50.6400N</v>
      </c>
      <c r="E92" t="str">
        <f t="shared" si="6"/>
        <v>147-06-28.5100E</v>
      </c>
      <c r="F92">
        <f t="shared" si="7"/>
        <v>11.5474</v>
      </c>
      <c r="G92">
        <f t="shared" si="8"/>
        <v>147.10791944444443</v>
      </c>
      <c r="H92" s="3" t="str">
        <f t="shared" si="9"/>
        <v>[91] = {["comment"] = "UNZ*C*127.00/180.00 11-32-50.6400N 147-06-28.5100E", ["callsignStr"] = "JUNIE", ["latitude"] = 11.5474, ["longitude"] = 147.107919444444 },</v>
      </c>
    </row>
    <row r="93" spans="1:8" ht="29.4" thickBot="1" x14ac:dyDescent="0.35">
      <c r="A93" s="2" t="s">
        <v>210</v>
      </c>
      <c r="B93" s="2" t="s">
        <v>33</v>
      </c>
      <c r="C93" s="2" t="s">
        <v>211</v>
      </c>
      <c r="D93" t="str">
        <f t="shared" si="5"/>
        <v>13-31-27.0100N</v>
      </c>
      <c r="E93" t="str">
        <f t="shared" si="6"/>
        <v>144-52-50.7700E</v>
      </c>
      <c r="F93">
        <f t="shared" si="7"/>
        <v>13.524169444444444</v>
      </c>
      <c r="G93">
        <f t="shared" si="8"/>
        <v>144.88076944444444</v>
      </c>
      <c r="H93" s="3" t="str">
        <f t="shared" si="9"/>
        <v>[92] = {["comment"] = "UNZ*C*062.23/9.57 13-31-27.0100N 144-52-50.7700E", ["callsignStr"] = "JUVNI", ["latitude"] = 13.5241694444444, ["longitude"] = 144.880769444444 },</v>
      </c>
    </row>
    <row r="94" spans="1:8" ht="29.4" thickBot="1" x14ac:dyDescent="0.35">
      <c r="A94" s="2" t="s">
        <v>212</v>
      </c>
      <c r="B94" s="2" t="s">
        <v>33</v>
      </c>
      <c r="C94" s="2" t="s">
        <v>213</v>
      </c>
      <c r="D94" t="str">
        <f t="shared" si="5"/>
        <v>13-37-29.6200N</v>
      </c>
      <c r="E94" t="str">
        <f t="shared" si="6"/>
        <v>145-01-02.7200E</v>
      </c>
      <c r="F94">
        <f t="shared" si="7"/>
        <v>13.624894444444445</v>
      </c>
      <c r="G94">
        <f t="shared" si="8"/>
        <v>145.01742222222222</v>
      </c>
      <c r="H94" s="3" t="str">
        <f t="shared" si="9"/>
        <v>[93] = {["comment"] = "13-37-29.6200N 145-01-02.7200E", ["callsignStr"] = "JWILL", ["latitude"] = 13.6248944444444, ["longitude"] = 145.017422222222 },</v>
      </c>
    </row>
    <row r="95" spans="1:8" ht="29.4" thickBot="1" x14ac:dyDescent="0.35">
      <c r="A95" s="2" t="s">
        <v>214</v>
      </c>
      <c r="B95" s="2" t="s">
        <v>33</v>
      </c>
      <c r="C95" s="2" t="s">
        <v>215</v>
      </c>
      <c r="D95" t="str">
        <f t="shared" si="5"/>
        <v>11-48-03.3900N</v>
      </c>
      <c r="E95" t="str">
        <f t="shared" si="6"/>
        <v>144-59-56.7800E</v>
      </c>
      <c r="F95">
        <f t="shared" si="7"/>
        <v>11.800941666666667</v>
      </c>
      <c r="G95">
        <f t="shared" si="8"/>
        <v>144.99910555555553</v>
      </c>
      <c r="H95" s="3" t="str">
        <f t="shared" si="9"/>
        <v>[94] = {["comment"] = "UNZ*C*169.00/100.00 11-48-03.3900N 144-59-56.7800E", ["callsignStr"] = "KAPOK", ["latitude"] = 11.8009416666667, ["longitude"] = 144.999105555556 },</v>
      </c>
    </row>
    <row r="96" spans="1:8" ht="29.4" thickBot="1" x14ac:dyDescent="0.35">
      <c r="A96" s="2" t="s">
        <v>12</v>
      </c>
      <c r="B96" s="2" t="s">
        <v>33</v>
      </c>
      <c r="C96" s="2" t="s">
        <v>216</v>
      </c>
      <c r="D96" t="str">
        <f t="shared" si="5"/>
        <v>13-34-34.9800N</v>
      </c>
      <c r="E96" t="str">
        <f t="shared" si="6"/>
        <v>144-54-23.6800E</v>
      </c>
      <c r="F96">
        <f t="shared" si="7"/>
        <v>13.576383333333332</v>
      </c>
      <c r="G96">
        <f t="shared" si="8"/>
        <v>144.90657777777778</v>
      </c>
      <c r="H96" s="3" t="str">
        <f t="shared" si="9"/>
        <v>[95] = {["comment"] = "UAM*T* /2.50 AND*LS*243.89 13-34-34.9800N 144-54-23.6800E", ["callsignStr"] = "KATNE", ["latitude"] = 13.5763833333333, ["longitude"] = 144.906577777778 },</v>
      </c>
    </row>
    <row r="97" spans="1:8" ht="29.4" thickBot="1" x14ac:dyDescent="0.35">
      <c r="A97" s="2" t="s">
        <v>217</v>
      </c>
      <c r="B97" s="2" t="s">
        <v>33</v>
      </c>
      <c r="C97" s="2" t="s">
        <v>218</v>
      </c>
      <c r="D97" t="str">
        <f t="shared" si="5"/>
        <v>14-36-57.3700N</v>
      </c>
      <c r="E97" t="str">
        <f t="shared" si="6"/>
        <v>145-37-59.6000E</v>
      </c>
      <c r="F97">
        <f t="shared" si="7"/>
        <v>14.615936111111111</v>
      </c>
      <c r="G97">
        <f t="shared" si="8"/>
        <v>145.63322222222223</v>
      </c>
      <c r="H97" s="3" t="str">
        <f t="shared" si="9"/>
        <v>[96] = {["comment"] = "UNZ*C*035.00/87.00 14-36-57.3700N 145-37-59.6000E", ["callsignStr"] = "KATQO", ["latitude"] = 14.6159361111111, ["longitude"] = 145.633222222222 },</v>
      </c>
    </row>
    <row r="98" spans="1:8" ht="29.4" thickBot="1" x14ac:dyDescent="0.35">
      <c r="A98" s="2" t="s">
        <v>219</v>
      </c>
      <c r="B98" s="2" t="s">
        <v>33</v>
      </c>
      <c r="C98" s="2" t="s">
        <v>220</v>
      </c>
      <c r="D98" t="str">
        <f t="shared" si="5"/>
        <v>15-04-40.8800N</v>
      </c>
      <c r="E98" t="str">
        <f t="shared" si="6"/>
        <v>145-37-33.7800E</v>
      </c>
      <c r="F98">
        <f t="shared" si="7"/>
        <v>15.078022222222222</v>
      </c>
      <c r="G98">
        <f t="shared" si="8"/>
        <v>145.62605000000002</v>
      </c>
      <c r="H98" s="3" t="str">
        <f t="shared" si="9"/>
        <v>[97] = {["comment"] = "GSN*LD*245.80*SW CRS/7.34 15-04-40.8800N 145-37-33.7800E", ["callsignStr"] = "KORDY", ["latitude"] = 15.0780222222222, ["longitude"] = 145.62605 },</v>
      </c>
    </row>
    <row r="99" spans="1:8" ht="29.4" thickBot="1" x14ac:dyDescent="0.35">
      <c r="A99" s="2" t="s">
        <v>221</v>
      </c>
      <c r="B99" s="2" t="s">
        <v>33</v>
      </c>
      <c r="C99" s="2" t="s">
        <v>222</v>
      </c>
      <c r="D99" t="str">
        <f t="shared" si="5"/>
        <v>13-30-50.0300N</v>
      </c>
      <c r="E99" t="str">
        <f t="shared" si="6"/>
        <v>144-59-26.1000E</v>
      </c>
      <c r="F99">
        <f t="shared" si="7"/>
        <v>13.513897222222223</v>
      </c>
      <c r="G99">
        <f t="shared" si="8"/>
        <v>144.99058333333332</v>
      </c>
      <c r="H99" s="3" t="str">
        <f t="shared" si="9"/>
        <v>[98] = {["comment"] = "13-30-50.0300N 144-59-26.1000E", ["callsignStr"] = "LAMYN", ["latitude"] = 13.5138972222222, ["longitude"] = 144.990583333333 },</v>
      </c>
    </row>
    <row r="100" spans="1:8" ht="29.4" thickBot="1" x14ac:dyDescent="0.35">
      <c r="A100" s="2" t="s">
        <v>8</v>
      </c>
      <c r="B100" s="2" t="s">
        <v>33</v>
      </c>
      <c r="C100" s="2" t="s">
        <v>223</v>
      </c>
      <c r="D100" t="str">
        <f t="shared" si="5"/>
        <v>13-28-37.4100N</v>
      </c>
      <c r="E100" t="str">
        <f t="shared" si="6"/>
        <v>144-40-48.5800E</v>
      </c>
      <c r="F100">
        <f t="shared" si="7"/>
        <v>13.477058333333334</v>
      </c>
      <c r="G100">
        <f t="shared" si="8"/>
        <v>144.68016111111109</v>
      </c>
      <c r="H100" s="3" t="str">
        <f t="shared" si="9"/>
        <v>[99] = {["comment"] = "UAM*T*244.38/17.00 13-28-37.4100N 144-40-48.5800E", ["callsignStr"] = "LOGLE", ["latitude"] = 13.4770583333333, ["longitude"] = 144.680161111111 },</v>
      </c>
    </row>
    <row r="101" spans="1:8" ht="29.4" thickBot="1" x14ac:dyDescent="0.35">
      <c r="A101" s="2" t="s">
        <v>224</v>
      </c>
      <c r="B101" s="2" t="s">
        <v>33</v>
      </c>
      <c r="C101" s="2" t="s">
        <v>225</v>
      </c>
      <c r="D101" t="str">
        <f t="shared" si="5"/>
        <v>13-41-30.1400N</v>
      </c>
      <c r="E101" t="str">
        <f t="shared" si="6"/>
        <v>145-10-56.8100E</v>
      </c>
      <c r="F101">
        <f t="shared" si="7"/>
        <v>13.691705555555556</v>
      </c>
      <c r="G101">
        <f t="shared" si="8"/>
        <v>145.18244722222221</v>
      </c>
      <c r="H101" s="3" t="str">
        <f t="shared" si="9"/>
        <v>[100] = {["comment"] = "13-41-30.1400N 145-10-56.8100E", ["callsignStr"] = "LUAAP", ["latitude"] = 13.6917055555556, ["longitude"] = 145.182447222222 },</v>
      </c>
    </row>
    <row r="102" spans="1:8" ht="29.4" thickBot="1" x14ac:dyDescent="0.35">
      <c r="A102" s="2" t="s">
        <v>226</v>
      </c>
      <c r="B102" s="2" t="s">
        <v>33</v>
      </c>
      <c r="C102" s="2" t="s">
        <v>227</v>
      </c>
      <c r="D102" t="str">
        <f t="shared" si="5"/>
        <v>14-48-14.9400N</v>
      </c>
      <c r="E102" t="str">
        <f t="shared" si="6"/>
        <v>145-17-38.3000E</v>
      </c>
      <c r="F102">
        <f t="shared" si="7"/>
        <v>14.80415</v>
      </c>
      <c r="G102">
        <f t="shared" si="8"/>
        <v>145.29397222222221</v>
      </c>
      <c r="H102" s="3" t="str">
        <f t="shared" si="9"/>
        <v>[101] = {["comment"] = "UNZ*C*020.00/87.00 14-48-14.9400N 145-17-38.3000E", ["callsignStr"] = "LULJY", ["latitude"] = 14.80415, ["longitude"] = 145.293972222222 },</v>
      </c>
    </row>
    <row r="103" spans="1:8" ht="29.4" thickBot="1" x14ac:dyDescent="0.35">
      <c r="A103" s="2" t="s">
        <v>228</v>
      </c>
      <c r="B103" s="2" t="s">
        <v>33</v>
      </c>
      <c r="C103" s="2" t="s">
        <v>229</v>
      </c>
      <c r="D103" t="str">
        <f t="shared" si="5"/>
        <v>13-31-06.6200N</v>
      </c>
      <c r="E103" t="str">
        <f t="shared" si="6"/>
        <v>144-59-02.5300E</v>
      </c>
      <c r="F103">
        <f t="shared" si="7"/>
        <v>13.518505555555556</v>
      </c>
      <c r="G103">
        <f t="shared" si="8"/>
        <v>144.9840361111111</v>
      </c>
      <c r="H103" s="3" t="str">
        <f t="shared" si="9"/>
        <v>[102] = {["comment"] = "13-31-06.6200N 144-59-02.5300E", ["callsignStr"] = "MADRY", ["latitude"] = 13.5185055555556, ["longitude"] = 144.984036111111 },</v>
      </c>
    </row>
    <row r="104" spans="1:8" ht="29.4" thickBot="1" x14ac:dyDescent="0.35">
      <c r="A104" s="2" t="s">
        <v>230</v>
      </c>
      <c r="B104" s="2" t="s">
        <v>33</v>
      </c>
      <c r="C104" s="2" t="s">
        <v>231</v>
      </c>
      <c r="D104" t="str">
        <f t="shared" si="5"/>
        <v>13-43-59.4900N</v>
      </c>
      <c r="E104" t="str">
        <f t="shared" si="6"/>
        <v>145-09-37.5300E</v>
      </c>
      <c r="F104">
        <f t="shared" si="7"/>
        <v>13.733191666666666</v>
      </c>
      <c r="G104">
        <f t="shared" si="8"/>
        <v>145.160425</v>
      </c>
      <c r="H104" s="3" t="str">
        <f t="shared" si="9"/>
        <v>[103] = {["comment"] = "UNZ*C*054.25/30.00 13-43-59.4900N 145-09-37.5300E", ["callsignStr"] = "MDBUG", ["latitude"] = 13.7331916666667, ["longitude"] = 145.160425 },</v>
      </c>
    </row>
    <row r="105" spans="1:8" ht="29.4" thickBot="1" x14ac:dyDescent="0.35">
      <c r="A105" s="2" t="s">
        <v>232</v>
      </c>
      <c r="B105" s="2" t="s">
        <v>33</v>
      </c>
      <c r="C105" s="2" t="s">
        <v>233</v>
      </c>
      <c r="D105" t="str">
        <f t="shared" si="5"/>
        <v>13-23-23.7900N</v>
      </c>
      <c r="E105" t="str">
        <f t="shared" si="6"/>
        <v>144-35-39.3700E</v>
      </c>
      <c r="F105">
        <f t="shared" si="7"/>
        <v>13.389941666666667</v>
      </c>
      <c r="G105">
        <f t="shared" si="8"/>
        <v>144.59426944444445</v>
      </c>
      <c r="H105" s="3" t="str">
        <f t="shared" si="9"/>
        <v>[104] = {["comment"] = "AWD*LD*242.96/14.12 13-23-23.7900N 144-35-39.3700E", ["callsignStr"] = "MEMKE", ["latitude"] = 13.3899416666667, ["longitude"] = 144.594269444444 },</v>
      </c>
    </row>
    <row r="106" spans="1:8" ht="29.4" thickBot="1" x14ac:dyDescent="0.35">
      <c r="A106" s="2" t="s">
        <v>234</v>
      </c>
      <c r="B106" s="2" t="s">
        <v>33</v>
      </c>
      <c r="C106" s="2" t="s">
        <v>235</v>
      </c>
      <c r="D106" t="str">
        <f t="shared" si="5"/>
        <v>13-33-27.1300N</v>
      </c>
      <c r="E106" t="str">
        <f t="shared" si="6"/>
        <v>144-56-45.7400E</v>
      </c>
      <c r="F106">
        <f t="shared" si="7"/>
        <v>13.557536111111112</v>
      </c>
      <c r="G106">
        <f t="shared" si="8"/>
        <v>144.94603888888889</v>
      </c>
      <c r="H106" s="3" t="str">
        <f t="shared" si="9"/>
        <v>[105] = {["comment"] = "13-33-27.1300N 144-56-45.7400E", ["callsignStr"] = "MIWZO", ["latitude"] = 13.5575361111111, ["longitude"] = 144.946038888889 },</v>
      </c>
    </row>
    <row r="107" spans="1:8" ht="29.4" thickBot="1" x14ac:dyDescent="0.35">
      <c r="A107" s="2" t="s">
        <v>236</v>
      </c>
      <c r="B107" s="2" t="s">
        <v>33</v>
      </c>
      <c r="C107" s="2" t="s">
        <v>237</v>
      </c>
      <c r="D107" t="str">
        <f t="shared" si="5"/>
        <v>13-27-07.3400N</v>
      </c>
      <c r="E107" t="str">
        <f t="shared" si="6"/>
        <v>144-43-30.9400E</v>
      </c>
      <c r="F107">
        <f t="shared" si="7"/>
        <v>13.452038888888888</v>
      </c>
      <c r="G107">
        <f t="shared" si="8"/>
        <v>144.72526111111111</v>
      </c>
      <c r="H107" s="3" t="str">
        <f t="shared" si="9"/>
        <v>[106] = {["comment"] = "GUM*LD*242.95/5.78 13-27-07.3400N 144-43-30.9400E", ["callsignStr"] = "MOBKE", ["latitude"] = 13.4520388888889, ["longitude"] = 144.725261111111 },</v>
      </c>
    </row>
    <row r="108" spans="1:8" ht="29.4" thickBot="1" x14ac:dyDescent="0.35">
      <c r="A108" s="2" t="s">
        <v>238</v>
      </c>
      <c r="B108" s="2" t="s">
        <v>33</v>
      </c>
      <c r="C108" s="2" t="s">
        <v>239</v>
      </c>
      <c r="D108" t="str">
        <f t="shared" si="5"/>
        <v>13-31-34.2300N</v>
      </c>
      <c r="E108" t="str">
        <f t="shared" si="6"/>
        <v>144-52-47.0700E</v>
      </c>
      <c r="F108">
        <f t="shared" si="7"/>
        <v>13.526175</v>
      </c>
      <c r="G108">
        <f t="shared" si="8"/>
        <v>144.87974166666666</v>
      </c>
      <c r="H108" s="3" t="str">
        <f t="shared" si="9"/>
        <v>[107] = {["comment"] = "UNZ*C* /9.57 AJA*R*060.51 13-31-34.2300N 144-52-47.0700E", ["callsignStr"] = "MOGOE", ["latitude"] = 13.526175, ["longitude"] = 144.879741666667 },</v>
      </c>
    </row>
    <row r="109" spans="1:8" ht="29.4" thickBot="1" x14ac:dyDescent="0.35">
      <c r="A109" s="2" t="s">
        <v>240</v>
      </c>
      <c r="B109" s="2" t="s">
        <v>33</v>
      </c>
      <c r="C109" s="2" t="s">
        <v>241</v>
      </c>
      <c r="D109" t="str">
        <f t="shared" si="5"/>
        <v>13-27-50.9300N</v>
      </c>
      <c r="E109" t="str">
        <f t="shared" si="6"/>
        <v>144-45-11.8000E</v>
      </c>
      <c r="F109">
        <f t="shared" si="7"/>
        <v>13.464147222222222</v>
      </c>
      <c r="G109">
        <f t="shared" si="8"/>
        <v>144.75327777777778</v>
      </c>
      <c r="H109" s="3" t="str">
        <f t="shared" si="9"/>
        <v>[108] = {["comment"] = "UNZ*C*061.83/1.30 13-27-50.9300N 144-45-11.8000E", ["callsignStr"] = "MOMRE", ["latitude"] = 13.4641472222222, ["longitude"] = 144.753277777778 },</v>
      </c>
    </row>
    <row r="110" spans="1:8" ht="29.4" thickBot="1" x14ac:dyDescent="0.35">
      <c r="A110" s="2" t="s">
        <v>242</v>
      </c>
      <c r="B110" s="2" t="s">
        <v>33</v>
      </c>
      <c r="C110" s="2" t="s">
        <v>243</v>
      </c>
      <c r="D110" t="str">
        <f t="shared" si="5"/>
        <v>13-44-07.2100N</v>
      </c>
      <c r="E110" t="str">
        <f t="shared" si="6"/>
        <v>145-21-06.0000E</v>
      </c>
      <c r="F110">
        <f t="shared" si="7"/>
        <v>13.73533611111111</v>
      </c>
      <c r="G110">
        <f t="shared" si="8"/>
        <v>145.35166666666666</v>
      </c>
      <c r="H110" s="3" t="str">
        <f t="shared" si="9"/>
        <v>[109] = {["comment"] = "UNZ*C*063.00/40.00 13-44-07.2100N 145-21-06.0000E", ["callsignStr"] = "NARKS", ["latitude"] = 13.7353361111111, ["longitude"] = 145.351666666667 },</v>
      </c>
    </row>
    <row r="111" spans="1:8" ht="29.4" thickBot="1" x14ac:dyDescent="0.35">
      <c r="A111" s="2" t="s">
        <v>244</v>
      </c>
      <c r="B111" s="2" t="s">
        <v>33</v>
      </c>
      <c r="C111" s="2" t="s">
        <v>245</v>
      </c>
      <c r="D111" t="str">
        <f t="shared" si="5"/>
        <v>13-39-42.8700N</v>
      </c>
      <c r="E111" t="str">
        <f t="shared" si="6"/>
        <v>145-17-28.1400E</v>
      </c>
      <c r="F111">
        <f t="shared" si="7"/>
        <v>13.661908333333333</v>
      </c>
      <c r="G111">
        <f t="shared" si="8"/>
        <v>145.29114999999999</v>
      </c>
      <c r="H111" s="3" t="str">
        <f t="shared" si="9"/>
        <v>[110] = {["comment"] = "13-39-42.8700N 145-17-28.1400E", ["callsignStr"] = "NERIC", ["latitude"] = 13.6619083333333, ["longitude"] = 145.29115 },</v>
      </c>
    </row>
    <row r="112" spans="1:8" ht="29.4" thickBot="1" x14ac:dyDescent="0.35">
      <c r="A112" s="2" t="s">
        <v>246</v>
      </c>
      <c r="B112" s="2" t="s">
        <v>33</v>
      </c>
      <c r="C112" s="2" t="s">
        <v>247</v>
      </c>
      <c r="D112" t="str">
        <f t="shared" si="5"/>
        <v>13-29-30.3300N</v>
      </c>
      <c r="E112" t="str">
        <f t="shared" si="6"/>
        <v>144-48-43.4600E</v>
      </c>
      <c r="F112">
        <f t="shared" si="7"/>
        <v>13.491758333333333</v>
      </c>
      <c r="G112">
        <f t="shared" si="8"/>
        <v>144.81207222222224</v>
      </c>
      <c r="H112" s="3" t="str">
        <f t="shared" si="9"/>
        <v>[111] = {["comment"] = "UNZ*C*062.23/5.11 AJA*R*060.51 13-29-30.3300N 144-48-43.4600E", ["callsignStr"] = "NOVKE", ["latitude"] = 13.4917583333333, ["longitude"] = 144.812072222222 },</v>
      </c>
    </row>
    <row r="113" spans="1:8" ht="29.4" thickBot="1" x14ac:dyDescent="0.35">
      <c r="A113" s="2" t="s">
        <v>248</v>
      </c>
      <c r="B113" s="2" t="s">
        <v>33</v>
      </c>
      <c r="C113" s="2" t="s">
        <v>249</v>
      </c>
      <c r="D113" t="str">
        <f t="shared" si="5"/>
        <v>13-23-29.9600N</v>
      </c>
      <c r="E113" t="str">
        <f t="shared" si="6"/>
        <v>144-35-36.4300E</v>
      </c>
      <c r="F113">
        <f t="shared" si="7"/>
        <v>13.391655555555555</v>
      </c>
      <c r="G113">
        <f t="shared" si="8"/>
        <v>144.5934527777778</v>
      </c>
      <c r="H113" s="3" t="str">
        <f t="shared" si="9"/>
        <v>[112] = {["comment"] = "UNZ*C*243.34/9.00 GUM*LD*242.95/14.29 13-23-29.9600N 144-35-36.4300E", ["callsignStr"] = "OBALE", ["latitude"] = 13.3916555555556, ["longitude"] = 144.593452777778 },</v>
      </c>
    </row>
    <row r="114" spans="1:8" ht="29.4" thickBot="1" x14ac:dyDescent="0.35">
      <c r="A114" s="2" t="s">
        <v>250</v>
      </c>
      <c r="B114" s="2" t="s">
        <v>33</v>
      </c>
      <c r="C114" s="2" t="s">
        <v>251</v>
      </c>
      <c r="D114" t="str">
        <f t="shared" si="5"/>
        <v>13-43-53.1200N</v>
      </c>
      <c r="E114" t="str">
        <f t="shared" si="6"/>
        <v>144-55-43.7500E</v>
      </c>
      <c r="F114">
        <f t="shared" si="7"/>
        <v>13.731422222222223</v>
      </c>
      <c r="G114">
        <f t="shared" si="8"/>
        <v>144.92881944444443</v>
      </c>
      <c r="H114" s="3" t="str">
        <f t="shared" si="9"/>
        <v>[113] = {["comment"] = "13-43-53.1200N 144-55-43.7500E", ["callsignStr"] = "OBSAE", ["latitude"] = 13.7314222222222, ["longitude"] = 144.928819444444 },</v>
      </c>
    </row>
    <row r="115" spans="1:8" ht="29.4" thickBot="1" x14ac:dyDescent="0.35">
      <c r="A115" s="2" t="s">
        <v>252</v>
      </c>
      <c r="B115" s="2" t="s">
        <v>33</v>
      </c>
      <c r="C115" s="2" t="s">
        <v>253</v>
      </c>
      <c r="D115" t="str">
        <f t="shared" si="5"/>
        <v>13-36-30.9900N</v>
      </c>
      <c r="E115" t="str">
        <f t="shared" si="6"/>
        <v>145-01-49.0100E</v>
      </c>
      <c r="F115">
        <f t="shared" si="7"/>
        <v>13.608608333333333</v>
      </c>
      <c r="G115">
        <f t="shared" si="8"/>
        <v>145.03028055555558</v>
      </c>
      <c r="H115" s="3" t="str">
        <f t="shared" si="9"/>
        <v>[114] = {["comment"] = "UAM*T*076.00/5.00 13-36-30.9900N 145-01-49.0100E", ["callsignStr"] = "OKIBE", ["latitude"] = 13.6086083333333, ["longitude"] = 145.030280555556 },</v>
      </c>
    </row>
    <row r="116" spans="1:8" ht="29.4" thickBot="1" x14ac:dyDescent="0.35">
      <c r="A116" s="2" t="s">
        <v>254</v>
      </c>
      <c r="B116" s="2" t="s">
        <v>33</v>
      </c>
      <c r="C116" s="2" t="s">
        <v>255</v>
      </c>
      <c r="D116" t="str">
        <f t="shared" si="5"/>
        <v>15-12-19.4700N</v>
      </c>
      <c r="E116" t="str">
        <f t="shared" si="6"/>
        <v>145-56-50.3600E</v>
      </c>
      <c r="F116">
        <f t="shared" si="7"/>
        <v>15.205408333333333</v>
      </c>
      <c r="G116">
        <f t="shared" si="8"/>
        <v>145.94732222222223</v>
      </c>
      <c r="H116" s="3" t="str">
        <f t="shared" si="9"/>
        <v>[115] = {["comment"] = "SN*R*065.76 GSN*LD*W CRS/12.80 15-12-19.4700N 145-56-50.3600E", ["callsignStr"] = "OPIHY", ["latitude"] = 15.2054083333333, ["longitude"] = 145.947322222222 },</v>
      </c>
    </row>
    <row r="117" spans="1:8" ht="29.4" thickBot="1" x14ac:dyDescent="0.35">
      <c r="A117" s="2" t="s">
        <v>256</v>
      </c>
      <c r="B117" s="2" t="s">
        <v>33</v>
      </c>
      <c r="C117" s="2" t="s">
        <v>257</v>
      </c>
      <c r="D117" t="str">
        <f t="shared" si="5"/>
        <v>13-54-33.2900N</v>
      </c>
      <c r="E117" t="str">
        <f t="shared" si="6"/>
        <v>146-01-17.4300E</v>
      </c>
      <c r="F117">
        <f t="shared" si="7"/>
        <v>13.909247222222223</v>
      </c>
      <c r="G117">
        <f t="shared" si="8"/>
        <v>146.02150833333334</v>
      </c>
      <c r="H117" s="3" t="str">
        <f t="shared" si="9"/>
        <v>[116] = {["comment"] = "13-54-33.2900N 146-01-17.4300E", ["callsignStr"] = "OPING", ["latitude"] = 13.9092472222222, ["longitude"] = 146.021508333333 },</v>
      </c>
    </row>
    <row r="118" spans="1:8" ht="29.4" thickBot="1" x14ac:dyDescent="0.35">
      <c r="A118" s="2" t="s">
        <v>258</v>
      </c>
      <c r="B118" s="2" t="s">
        <v>33</v>
      </c>
      <c r="C118" s="2" t="s">
        <v>259</v>
      </c>
      <c r="D118" t="str">
        <f t="shared" si="5"/>
        <v>12-23-51.4800N</v>
      </c>
      <c r="E118" t="str">
        <f t="shared" si="6"/>
        <v>146-03-24.5600E</v>
      </c>
      <c r="F118">
        <f t="shared" si="7"/>
        <v>12.397633333333333</v>
      </c>
      <c r="G118">
        <f t="shared" si="8"/>
        <v>146.05682222222222</v>
      </c>
      <c r="H118" s="3" t="str">
        <f t="shared" si="9"/>
        <v>[117] = {["comment"] = "UNZ*C*127.00/100.00 12-23-51.4800N 146-03-24.5600E", ["callsignStr"] = "OPLAR", ["latitude"] = 12.3976333333333, ["longitude"] = 146.056822222222 },</v>
      </c>
    </row>
    <row r="119" spans="1:8" ht="29.4" thickBot="1" x14ac:dyDescent="0.35">
      <c r="A119" s="2" t="s">
        <v>260</v>
      </c>
      <c r="B119" s="2" t="s">
        <v>33</v>
      </c>
      <c r="C119" s="2" t="s">
        <v>261</v>
      </c>
      <c r="D119" t="str">
        <f t="shared" si="5"/>
        <v>13-41-29.9600N</v>
      </c>
      <c r="E119" t="str">
        <f t="shared" si="6"/>
        <v>145-10-55.3600E</v>
      </c>
      <c r="F119">
        <f t="shared" si="7"/>
        <v>13.691655555555556</v>
      </c>
      <c r="G119">
        <f t="shared" si="8"/>
        <v>145.18204444444444</v>
      </c>
      <c r="H119" s="3" t="str">
        <f t="shared" si="9"/>
        <v>[118] = {["comment"] = "13-41-29.9600N 145-10-55.3600E", ["callsignStr"] = "OSKKR", ["latitude"] = 13.6916555555556, ["longitude"] = 145.182044444444 },</v>
      </c>
    </row>
    <row r="120" spans="1:8" ht="29.4" thickBot="1" x14ac:dyDescent="0.35">
      <c r="A120" s="2" t="s">
        <v>262</v>
      </c>
      <c r="B120" s="2" t="s">
        <v>33</v>
      </c>
      <c r="C120" s="2" t="s">
        <v>263</v>
      </c>
      <c r="D120" t="str">
        <f t="shared" si="5"/>
        <v>13-37-24.1400N</v>
      </c>
      <c r="E120" t="str">
        <f t="shared" si="6"/>
        <v>145-01-34.2600E</v>
      </c>
      <c r="F120">
        <f t="shared" si="7"/>
        <v>13.623372222222223</v>
      </c>
      <c r="G120">
        <f t="shared" si="8"/>
        <v>145.02618333333334</v>
      </c>
      <c r="H120" s="3" t="str">
        <f t="shared" si="9"/>
        <v>[119] = {["comment"] = "13-37-24.1400N 145-01-34.2600E", ["callsignStr"] = "OWEND", ["latitude"] = 13.6233722222222, ["longitude"] = 145.026183333333 },</v>
      </c>
    </row>
    <row r="121" spans="1:8" ht="29.4" thickBot="1" x14ac:dyDescent="0.35">
      <c r="A121" s="2" t="s">
        <v>24</v>
      </c>
      <c r="B121" s="2" t="s">
        <v>33</v>
      </c>
      <c r="C121" s="2" t="s">
        <v>264</v>
      </c>
      <c r="D121" t="str">
        <f t="shared" si="5"/>
        <v>13-42-18.3400N</v>
      </c>
      <c r="E121" t="str">
        <f t="shared" si="6"/>
        <v>145-12-47.7200E</v>
      </c>
      <c r="F121">
        <f t="shared" si="7"/>
        <v>13.705094444444443</v>
      </c>
      <c r="G121">
        <f t="shared" si="8"/>
        <v>145.21325555555555</v>
      </c>
      <c r="H121" s="3" t="str">
        <f t="shared" si="9"/>
        <v>[120] = {["comment"] = "UAM*T*064.38/17.00 13-42-18.3400N 145-12-47.7200E", ["callsignStr"] = "PANNS", ["latitude"] = 13.7050944444444, ["longitude"] = 145.213255555556 },</v>
      </c>
    </row>
    <row r="122" spans="1:8" ht="29.4" thickBot="1" x14ac:dyDescent="0.35">
      <c r="A122" s="2" t="s">
        <v>265</v>
      </c>
      <c r="B122" s="2" t="s">
        <v>33</v>
      </c>
      <c r="C122" s="2" t="s">
        <v>266</v>
      </c>
      <c r="D122" t="str">
        <f t="shared" si="5"/>
        <v>13-32-04.0000N</v>
      </c>
      <c r="E122" t="str">
        <f t="shared" si="6"/>
        <v>144-54-19.8600E</v>
      </c>
      <c r="F122">
        <f t="shared" si="7"/>
        <v>13.534444444444444</v>
      </c>
      <c r="G122">
        <f t="shared" si="8"/>
        <v>144.90551666666667</v>
      </c>
      <c r="H122" s="3" t="str">
        <f t="shared" si="9"/>
        <v>[121] = {["comment"] = "13-32-04.0000N 144-54-19.8600E", ["callsignStr"] = "PAVYI", ["latitude"] = 13.5344444444444, ["longitude"] = 144.905516666667 },</v>
      </c>
    </row>
    <row r="123" spans="1:8" ht="29.4" thickBot="1" x14ac:dyDescent="0.35">
      <c r="A123" s="2" t="s">
        <v>267</v>
      </c>
      <c r="B123" s="2" t="s">
        <v>33</v>
      </c>
      <c r="C123" s="2" t="s">
        <v>268</v>
      </c>
      <c r="D123" t="str">
        <f t="shared" si="5"/>
        <v>13-42-39.7700N</v>
      </c>
      <c r="E123" t="str">
        <f t="shared" si="6"/>
        <v>145-06-33.4800E</v>
      </c>
      <c r="F123">
        <f t="shared" si="7"/>
        <v>13.711047222222222</v>
      </c>
      <c r="G123">
        <f t="shared" si="8"/>
        <v>145.10929999999999</v>
      </c>
      <c r="H123" s="3" t="str">
        <f t="shared" si="9"/>
        <v>[122] = {["comment"] = "UAM*T*051.00/11.90 13-42-39.7700N 145-06-33.4800E", ["callsignStr"] = "PEGIY", ["latitude"] = 13.7110472222222, ["longitude"] = 145.1093 },</v>
      </c>
    </row>
    <row r="124" spans="1:8" ht="29.4" thickBot="1" x14ac:dyDescent="0.35">
      <c r="A124" s="2" t="s">
        <v>269</v>
      </c>
      <c r="B124" s="2" t="s">
        <v>33</v>
      </c>
      <c r="C124" s="2" t="s">
        <v>270</v>
      </c>
      <c r="D124" t="str">
        <f t="shared" si="5"/>
        <v>13-32-30.9600N</v>
      </c>
      <c r="E124" t="str">
        <f t="shared" si="6"/>
        <v>144-55-18.9000E</v>
      </c>
      <c r="F124">
        <f t="shared" si="7"/>
        <v>13.541933333333333</v>
      </c>
      <c r="G124">
        <f t="shared" si="8"/>
        <v>144.92191666666665</v>
      </c>
      <c r="H124" s="3" t="str">
        <f t="shared" si="9"/>
        <v>[123] = {["comment"] = "13-32-30.9600N 144-55-18.9000E", ["callsignStr"] = "PIKAY", ["latitude"] = 13.5419333333333, ["longitude"] = 144.921916666667 },</v>
      </c>
    </row>
    <row r="125" spans="1:8" ht="29.4" thickBot="1" x14ac:dyDescent="0.35">
      <c r="A125" s="2" t="s">
        <v>271</v>
      </c>
      <c r="B125" s="2" t="s">
        <v>33</v>
      </c>
      <c r="C125" s="2" t="s">
        <v>272</v>
      </c>
      <c r="D125" t="str">
        <f t="shared" si="5"/>
        <v>15-08-11.3200N</v>
      </c>
      <c r="E125" t="str">
        <f t="shared" si="6"/>
        <v>145-46-24.2400E</v>
      </c>
      <c r="F125">
        <f t="shared" si="7"/>
        <v>15.136477777777777</v>
      </c>
      <c r="G125">
        <f t="shared" si="8"/>
        <v>145.77340000000001</v>
      </c>
      <c r="H125" s="3" t="str">
        <f t="shared" si="9"/>
        <v>[124] = {["comment"] = "SN*R*065.76 GSN*LD*W CRS/1.90 15-08-11.3200N 145-46-24.2400E", ["callsignStr"] = "PIRTY", ["latitude"] = 15.1364777777778, ["longitude"] = 145.7734 },</v>
      </c>
    </row>
    <row r="126" spans="1:8" ht="29.4" thickBot="1" x14ac:dyDescent="0.35">
      <c r="A126" s="2" t="s">
        <v>273</v>
      </c>
      <c r="B126" s="2" t="s">
        <v>33</v>
      </c>
      <c r="C126" s="2" t="s">
        <v>274</v>
      </c>
      <c r="D126" t="str">
        <f t="shared" si="5"/>
        <v>15-00-51.5100N</v>
      </c>
      <c r="E126" t="str">
        <f t="shared" si="6"/>
        <v>145-27-56.7000E</v>
      </c>
      <c r="F126">
        <f t="shared" si="7"/>
        <v>15.014308333333334</v>
      </c>
      <c r="G126">
        <f t="shared" si="8"/>
        <v>145.46574999999999</v>
      </c>
      <c r="H126" s="3" t="str">
        <f t="shared" si="9"/>
        <v>[125] = {["comment"] = "GSN*LD*245.80*SW CRS/17.39 15-00-51.5100N 145-27-56.7000E", ["callsignStr"] = "PONOI", ["latitude"] = 15.0143083333333, ["longitude"] = 145.46575 },</v>
      </c>
    </row>
    <row r="127" spans="1:8" ht="29.4" thickBot="1" x14ac:dyDescent="0.35">
      <c r="A127" s="2" t="s">
        <v>275</v>
      </c>
      <c r="B127" s="2" t="s">
        <v>33</v>
      </c>
      <c r="C127" s="2" t="s">
        <v>276</v>
      </c>
      <c r="D127" t="str">
        <f t="shared" si="5"/>
        <v>13-31-25.0500N</v>
      </c>
      <c r="E127" t="str">
        <f t="shared" si="6"/>
        <v>144-03-09.8300E</v>
      </c>
      <c r="F127">
        <f t="shared" si="7"/>
        <v>13.523625000000001</v>
      </c>
      <c r="G127">
        <f t="shared" si="8"/>
        <v>144.05273055555557</v>
      </c>
      <c r="H127" s="3" t="str">
        <f t="shared" si="9"/>
        <v>[126] = {["comment"] = "UNZ*C*274.00/40.00 13-31-25.0500N 144-03-09.8300E", ["callsignStr"] = "PULEE", ["latitude"] = 13.523625, ["longitude"] = 144.052730555556 },</v>
      </c>
    </row>
    <row r="128" spans="1:8" ht="29.4" thickBot="1" x14ac:dyDescent="0.35">
      <c r="A128" s="2" t="s">
        <v>277</v>
      </c>
      <c r="B128" s="2" t="s">
        <v>33</v>
      </c>
      <c r="C128" s="2" t="s">
        <v>278</v>
      </c>
      <c r="D128" t="str">
        <f t="shared" si="5"/>
        <v>13-28-03.0800N</v>
      </c>
      <c r="E128" t="str">
        <f t="shared" si="6"/>
        <v>144-33-26.0500E</v>
      </c>
      <c r="F128">
        <f t="shared" si="7"/>
        <v>13.467522222222222</v>
      </c>
      <c r="G128">
        <f t="shared" si="8"/>
        <v>144.55723611111111</v>
      </c>
      <c r="H128" s="3" t="str">
        <f t="shared" si="9"/>
        <v>[127] = {["comment"] = "13-28-03.0800N 144-33-26.0500E", ["callsignStr"] = "RASPE", ["latitude"] = 13.4675222222222, ["longitude"] = 144.557236111111 },</v>
      </c>
    </row>
    <row r="129" spans="1:8" ht="29.4" thickBot="1" x14ac:dyDescent="0.35">
      <c r="A129" s="2" t="s">
        <v>279</v>
      </c>
      <c r="B129" s="2" t="s">
        <v>33</v>
      </c>
      <c r="C129" s="2" t="s">
        <v>280</v>
      </c>
      <c r="D129" t="str">
        <f t="shared" si="5"/>
        <v>13-39-37.1200N</v>
      </c>
      <c r="E129" t="str">
        <f t="shared" si="6"/>
        <v>144-57-47.7800E</v>
      </c>
      <c r="F129">
        <f t="shared" si="7"/>
        <v>13.660311111111112</v>
      </c>
      <c r="G129">
        <f t="shared" si="8"/>
        <v>144.9632722222222</v>
      </c>
      <c r="H129" s="3" t="str">
        <f t="shared" si="9"/>
        <v>[128] = {["comment"] = "13-39-37.1200N 144-57-47.7800E", ["callsignStr"] = "REMDE", ["latitude"] = 13.6603111111111, ["longitude"] = 144.963272222222 },</v>
      </c>
    </row>
    <row r="130" spans="1:8" ht="29.4" thickBot="1" x14ac:dyDescent="0.35">
      <c r="A130" s="2" t="s">
        <v>281</v>
      </c>
      <c r="B130" s="2" t="s">
        <v>33</v>
      </c>
      <c r="C130" s="2" t="s">
        <v>282</v>
      </c>
      <c r="D130" t="str">
        <f t="shared" si="5"/>
        <v>13-41-35.8100N</v>
      </c>
      <c r="E130" t="str">
        <f t="shared" si="6"/>
        <v>145-10-25.1900E</v>
      </c>
      <c r="F130">
        <f t="shared" si="7"/>
        <v>13.693280555555555</v>
      </c>
      <c r="G130">
        <f t="shared" si="8"/>
        <v>145.17366388888888</v>
      </c>
      <c r="H130" s="3" t="str">
        <f t="shared" si="9"/>
        <v>[129] = {["comment"] = "13-41-35.8100N 145-10-25.1900E", ["callsignStr"] = "ROUDY", ["latitude"] = 13.6932805555556, ["longitude"] = 145.173663888889 },</v>
      </c>
    </row>
    <row r="131" spans="1:8" ht="29.4" thickBot="1" x14ac:dyDescent="0.35">
      <c r="A131" s="2" t="s">
        <v>283</v>
      </c>
      <c r="B131" s="2" t="s">
        <v>33</v>
      </c>
      <c r="C131" s="2" t="s">
        <v>284</v>
      </c>
      <c r="D131" t="str">
        <f t="shared" ref="D131:D186" si="10">findLatitude(C131)</f>
        <v>14-09-44.9600N</v>
      </c>
      <c r="E131" t="str">
        <f t="shared" ref="E131:E186" si="11">findLongitude(C131)</f>
        <v>145-16-49.6800E</v>
      </c>
      <c r="F131">
        <f t="shared" ref="F131:F186" si="12">VALUE(MID(D131,1,2))+VALUE(MID(D131,4,2))/60+VALUE(MID(D131,7,7))/(1*3600)</f>
        <v>14.162488888888889</v>
      </c>
      <c r="G131">
        <f t="shared" ref="G131:G186" si="13">VALUE(MID(E131,1,3))+VALUE(MID(E131,5,2))/60+VALUE(MID(E131,8,7))/(1*3600)</f>
        <v>145.28046666666668</v>
      </c>
      <c r="H131" s="3" t="str">
        <f t="shared" ref="H131:H186" si="14">CONCATENATE("[",ROW()+$H$1-1,"] = {","[""comment""] = """,C131,""", ","[""callsignStr""] = """,A131,""", ","[""latitude""] = ",F131,", ","[""longitude""] = ",G131," },")</f>
        <v>[130] = {["comment"] = "GRO*R*101.02 UNZ*C*035.00/53.00 14-09-44.9600N 145-16-49.6800E", ["callsignStr"] = "SANDO", ["latitude"] = 14.1624888888889, ["longitude"] = 145.280466666667 },</v>
      </c>
    </row>
    <row r="132" spans="1:8" ht="29.4" thickBot="1" x14ac:dyDescent="0.35">
      <c r="A132" s="2" t="s">
        <v>285</v>
      </c>
      <c r="B132" s="2" t="s">
        <v>33</v>
      </c>
      <c r="C132" s="2" t="s">
        <v>286</v>
      </c>
      <c r="D132" t="str">
        <f t="shared" si="10"/>
        <v>15-07-38.3900N</v>
      </c>
      <c r="E132" t="str">
        <f t="shared" si="11"/>
        <v>145-45-01.2400E</v>
      </c>
      <c r="F132">
        <f t="shared" si="12"/>
        <v>15.127330555555556</v>
      </c>
      <c r="G132">
        <f t="shared" si="13"/>
        <v>145.75034444444444</v>
      </c>
      <c r="H132" s="3" t="str">
        <f t="shared" si="14"/>
        <v>[131] = {["comment"] = "SN*R*065.76 GSN*LD*W CRS/0.46 15-07-38.3900N 145-45-01.2400E", ["callsignStr"] = "SEQKO", ["latitude"] = 15.1273305555556, ["longitude"] = 145.750344444444 },</v>
      </c>
    </row>
    <row r="133" spans="1:8" ht="29.4" thickBot="1" x14ac:dyDescent="0.35">
      <c r="A133" s="2" t="s">
        <v>287</v>
      </c>
      <c r="B133" s="2" t="s">
        <v>33</v>
      </c>
      <c r="C133" s="2" t="s">
        <v>288</v>
      </c>
      <c r="D133" t="str">
        <f t="shared" si="10"/>
        <v>15-05-34.4500N</v>
      </c>
      <c r="E133" t="str">
        <f t="shared" si="11"/>
        <v>145-39-48.9700E</v>
      </c>
      <c r="F133">
        <f t="shared" si="12"/>
        <v>15.092902777777779</v>
      </c>
      <c r="G133">
        <f t="shared" si="13"/>
        <v>145.66360277777778</v>
      </c>
      <c r="H133" s="3" t="str">
        <f t="shared" si="14"/>
        <v>[132] = {["comment"] = "SN*R*245.79 GSN*LD/4.98 15-05-34.4500N 145-39-48.9700E", ["callsignStr"] = "SHAKA", ["latitude"] = 15.0929027777778, ["longitude"] = 145.663602777778 },</v>
      </c>
    </row>
    <row r="134" spans="1:8" ht="29.4" thickBot="1" x14ac:dyDescent="0.35">
      <c r="A134" s="2" t="s">
        <v>289</v>
      </c>
      <c r="B134" s="2" t="s">
        <v>33</v>
      </c>
      <c r="C134" s="2" t="s">
        <v>290</v>
      </c>
      <c r="D134" t="str">
        <f t="shared" si="10"/>
        <v>15-08-33.7000N</v>
      </c>
      <c r="E134" t="str">
        <f t="shared" si="11"/>
        <v>145-47-16.4700E</v>
      </c>
      <c r="F134">
        <f t="shared" si="12"/>
        <v>15.142694444444444</v>
      </c>
      <c r="G134">
        <f t="shared" si="13"/>
        <v>145.78790833333332</v>
      </c>
      <c r="H134" s="3" t="str">
        <f t="shared" si="14"/>
        <v>[133] = {["comment"] = "15-08-33.7000N 145-47-16.4700E", ["callsignStr"] = "SHODA", ["latitude"] = 15.1426944444444, ["longitude"] = 145.787908333333 },</v>
      </c>
    </row>
    <row r="135" spans="1:8" ht="29.4" thickBot="1" x14ac:dyDescent="0.35">
      <c r="A135" s="2" t="s">
        <v>291</v>
      </c>
      <c r="B135" s="2" t="s">
        <v>33</v>
      </c>
      <c r="C135" s="2" t="s">
        <v>292</v>
      </c>
      <c r="D135" t="str">
        <f t="shared" si="10"/>
        <v>13-29-47.6800N</v>
      </c>
      <c r="E135" t="str">
        <f t="shared" si="11"/>
        <v>145-01-46.0900E</v>
      </c>
      <c r="F135">
        <f t="shared" si="12"/>
        <v>13.496577777777777</v>
      </c>
      <c r="G135">
        <f t="shared" si="13"/>
        <v>145.02946944444446</v>
      </c>
      <c r="H135" s="3" t="str">
        <f t="shared" si="14"/>
        <v>[134] = {["comment"] = "13-29-47.6800N 145-01-46.0900E", ["callsignStr"] = "SIDPE", ["latitude"] = 13.4965777777778, ["longitude"] = 145.029469444444 },</v>
      </c>
    </row>
    <row r="136" spans="1:8" ht="29.4" thickBot="1" x14ac:dyDescent="0.35">
      <c r="A136" s="2" t="s">
        <v>293</v>
      </c>
      <c r="B136" s="2" t="s">
        <v>33</v>
      </c>
      <c r="C136" s="2" t="s">
        <v>294</v>
      </c>
      <c r="D136" t="str">
        <f t="shared" si="10"/>
        <v>13-31-22.0600N</v>
      </c>
      <c r="E136" t="str">
        <f t="shared" si="11"/>
        <v>144-53-04.7900E</v>
      </c>
      <c r="F136">
        <f t="shared" si="12"/>
        <v>13.522794444444445</v>
      </c>
      <c r="G136">
        <f t="shared" si="13"/>
        <v>144.88466388888889</v>
      </c>
      <c r="H136" s="3" t="str">
        <f t="shared" si="14"/>
        <v>[135] = {["comment"] = "13-31-22.0600N 144-53-04.7900E", ["callsignStr"] = "SLEPT", ["latitude"] = 13.5227944444444, ["longitude"] = 144.884663888889 },</v>
      </c>
    </row>
    <row r="137" spans="1:8" ht="29.4" thickBot="1" x14ac:dyDescent="0.35">
      <c r="A137" s="2" t="s">
        <v>295</v>
      </c>
      <c r="B137" s="2" t="s">
        <v>33</v>
      </c>
      <c r="C137" s="2" t="s">
        <v>296</v>
      </c>
      <c r="D137" t="str">
        <f t="shared" si="10"/>
        <v>15-51-12.3800N</v>
      </c>
      <c r="E137" t="str">
        <f t="shared" si="11"/>
        <v>146-36-20.8200E</v>
      </c>
      <c r="F137">
        <f t="shared" si="12"/>
        <v>15.853438888888888</v>
      </c>
      <c r="G137">
        <f t="shared" si="13"/>
        <v>146.60578333333333</v>
      </c>
      <c r="H137" s="3" t="str">
        <f t="shared" si="14"/>
        <v>[136] = {["comment"] = "UNZ*C*035.00/180.00 15-51-12.3800N 146-36-20.8200E", ["callsignStr"] = "SNAPP", ["latitude"] = 15.8534388888889, ["longitude"] = 146.605783333333 },</v>
      </c>
    </row>
    <row r="138" spans="1:8" ht="29.4" thickBot="1" x14ac:dyDescent="0.35">
      <c r="A138" s="2" t="s">
        <v>297</v>
      </c>
      <c r="B138" s="2" t="s">
        <v>33</v>
      </c>
      <c r="C138" s="2" t="s">
        <v>298</v>
      </c>
      <c r="D138" t="str">
        <f t="shared" si="10"/>
        <v>13-18-53.1200N</v>
      </c>
      <c r="E138" t="str">
        <f t="shared" si="11"/>
        <v>144-43-19.3200E</v>
      </c>
      <c r="F138">
        <f t="shared" si="12"/>
        <v>13.314755555555557</v>
      </c>
      <c r="G138">
        <f t="shared" si="13"/>
        <v>144.72203333333334</v>
      </c>
      <c r="H138" s="3" t="str">
        <f t="shared" si="14"/>
        <v>[137] = {["comment"] = "13-18-53.1200N 144-43-19.3200E", ["callsignStr"] = "SNOYL", ["latitude"] = 13.3147555555556, ["longitude"] = 144.722033333333 },</v>
      </c>
    </row>
    <row r="139" spans="1:8" ht="29.4" thickBot="1" x14ac:dyDescent="0.35">
      <c r="A139" s="2" t="s">
        <v>299</v>
      </c>
      <c r="B139" s="2" t="s">
        <v>33</v>
      </c>
      <c r="C139" s="2" t="s">
        <v>300</v>
      </c>
      <c r="D139" t="str">
        <f t="shared" si="10"/>
        <v>14-28-04.6400N</v>
      </c>
      <c r="E139" t="str">
        <f t="shared" si="11"/>
        <v>147-38-19.7100E</v>
      </c>
      <c r="F139">
        <f t="shared" si="12"/>
        <v>14.467955555555555</v>
      </c>
      <c r="G139">
        <f t="shared" si="13"/>
        <v>147.63880833333332</v>
      </c>
      <c r="H139" s="3" t="str">
        <f t="shared" si="14"/>
        <v>[138] = {["comment"] = "UNZ*C*068.00/180.00 14-28-04.6400N 147-38-19.7100E", ["callsignStr"] = "STINE", ["latitude"] = 14.4679555555556, ["longitude"] = 147.638808333333 },</v>
      </c>
    </row>
    <row r="140" spans="1:8" ht="29.4" thickBot="1" x14ac:dyDescent="0.35">
      <c r="A140" s="2" t="s">
        <v>23</v>
      </c>
      <c r="B140" s="2" t="s">
        <v>33</v>
      </c>
      <c r="C140" s="2" t="s">
        <v>301</v>
      </c>
      <c r="D140" t="str">
        <f t="shared" si="10"/>
        <v>13-34-18.7600N</v>
      </c>
      <c r="E140" t="str">
        <f t="shared" si="11"/>
        <v>144-54-31.1200E</v>
      </c>
      <c r="F140">
        <f t="shared" si="12"/>
        <v>13.571877777777777</v>
      </c>
      <c r="G140">
        <f t="shared" si="13"/>
        <v>144.90864444444446</v>
      </c>
      <c r="H140" s="3" t="str">
        <f t="shared" si="14"/>
        <v>[139] = {["comment"] = "UAM*T* /2.50 UAM*LG*243.87 13-34-18.7600N 144-54-31.1200E", ["callsignStr"] = "SULUE", ["latitude"] = 13.5718777777778, ["longitude"] = 144.908644444444 },</v>
      </c>
    </row>
    <row r="141" spans="1:8" ht="29.4" thickBot="1" x14ac:dyDescent="0.35">
      <c r="A141" s="2" t="s">
        <v>302</v>
      </c>
      <c r="B141" s="2" t="s">
        <v>33</v>
      </c>
      <c r="C141" s="2" t="s">
        <v>303</v>
      </c>
      <c r="D141" t="str">
        <f t="shared" si="10"/>
        <v>13-41-17.2300N</v>
      </c>
      <c r="E141" t="str">
        <f t="shared" si="11"/>
        <v>145-06-31.4300E</v>
      </c>
      <c r="F141">
        <f t="shared" si="12"/>
        <v>13.688119444444444</v>
      </c>
      <c r="G141">
        <f t="shared" si="13"/>
        <v>145.10873055555555</v>
      </c>
      <c r="H141" s="3" t="str">
        <f t="shared" si="14"/>
        <v>[140] = {["comment"] = "UNZ*C*055.50/26.00 13-41-17.2300N 145-06-31.4300E", ["callsignStr"] = "TIMAE", ["latitude"] = 13.6881194444444, ["longitude"] = 145.108730555556 },</v>
      </c>
    </row>
    <row r="142" spans="1:8" ht="29.4" thickBot="1" x14ac:dyDescent="0.35">
      <c r="A142" s="2" t="s">
        <v>304</v>
      </c>
      <c r="B142" s="2" t="s">
        <v>33</v>
      </c>
      <c r="C142" s="2" t="s">
        <v>305</v>
      </c>
      <c r="D142" t="str">
        <f t="shared" si="10"/>
        <v>13-26-09.0000N</v>
      </c>
      <c r="E142" t="str">
        <f t="shared" si="11"/>
        <v>144-42-17.8200E</v>
      </c>
      <c r="F142">
        <f t="shared" si="12"/>
        <v>13.435833333333333</v>
      </c>
      <c r="G142">
        <f t="shared" si="13"/>
        <v>144.70495</v>
      </c>
      <c r="H142" s="3" t="str">
        <f t="shared" si="14"/>
        <v>[141] = {["comment"] = "UNZ*C*234.00/2.00 13-26-09.0000N 144-42-17.8200E", ["callsignStr"] = "TOCOG", ["latitude"] = 13.4358333333333, ["longitude"] = 144.70495 },</v>
      </c>
    </row>
    <row r="143" spans="1:8" ht="29.4" thickBot="1" x14ac:dyDescent="0.35">
      <c r="A143" s="2" t="s">
        <v>306</v>
      </c>
      <c r="B143" s="2" t="s">
        <v>33</v>
      </c>
      <c r="C143" s="2" t="s">
        <v>307</v>
      </c>
      <c r="D143" t="str">
        <f t="shared" si="10"/>
        <v>13-27-34.2300N</v>
      </c>
      <c r="E143" t="str">
        <f t="shared" si="11"/>
        <v>144-44-46.2200E</v>
      </c>
      <c r="F143">
        <f t="shared" si="12"/>
        <v>13.459508333333332</v>
      </c>
      <c r="G143">
        <f t="shared" si="13"/>
        <v>144.74617222222221</v>
      </c>
      <c r="H143" s="3" t="str">
        <f t="shared" si="14"/>
        <v>[142] = {["comment"] = "13-27-34.2300N 144-44-46.2200E", ["callsignStr"] = "TYPOS", ["latitude"] = 13.4595083333333, ["longitude"] = 144.746172222222 },</v>
      </c>
    </row>
    <row r="144" spans="1:8" ht="29.4" thickBot="1" x14ac:dyDescent="0.35">
      <c r="A144" s="2" t="s">
        <v>308</v>
      </c>
      <c r="B144" s="2" t="s">
        <v>33</v>
      </c>
      <c r="C144" s="2" t="s">
        <v>309</v>
      </c>
      <c r="D144" t="str">
        <f t="shared" si="10"/>
        <v>13-26-06.5400N</v>
      </c>
      <c r="E144" t="str">
        <f t="shared" si="11"/>
        <v>144-42-19.5600E</v>
      </c>
      <c r="F144">
        <f t="shared" si="12"/>
        <v>13.43515</v>
      </c>
      <c r="G144">
        <f t="shared" si="13"/>
        <v>144.70543333333333</v>
      </c>
      <c r="H144" s="3" t="str">
        <f t="shared" si="14"/>
        <v>[143] = {["comment"] = "UNZ*C*232.58/2.00 13-26-06.5400N 144-42-19.5600E", ["callsignStr"] = "VEAGA", ["latitude"] = 13.43515, ["longitude"] = 144.705433333333 },</v>
      </c>
    </row>
    <row r="145" spans="1:8" ht="29.4" thickBot="1" x14ac:dyDescent="0.35">
      <c r="A145" s="2" t="s">
        <v>310</v>
      </c>
      <c r="B145" s="2" t="s">
        <v>33</v>
      </c>
      <c r="C145" s="2" t="s">
        <v>311</v>
      </c>
      <c r="D145" t="str">
        <f t="shared" si="10"/>
        <v>13-34-32.2300N</v>
      </c>
      <c r="E145" t="str">
        <f t="shared" si="11"/>
        <v>144-59-44.6600E</v>
      </c>
      <c r="F145">
        <f t="shared" si="12"/>
        <v>13.575619444444444</v>
      </c>
      <c r="G145">
        <f t="shared" si="13"/>
        <v>144.99573888888887</v>
      </c>
      <c r="H145" s="3" t="str">
        <f t="shared" si="14"/>
        <v>[144] = {["comment"] = "13-34-32.2300N 144-59-44.6600E", ["callsignStr"] = "WABOX", ["latitude"] = 13.5756194444444, ["longitude"] = 144.995738888889 },</v>
      </c>
    </row>
    <row r="146" spans="1:8" ht="29.4" thickBot="1" x14ac:dyDescent="0.35">
      <c r="A146" s="2" t="s">
        <v>312</v>
      </c>
      <c r="B146" s="2" t="s">
        <v>33</v>
      </c>
      <c r="C146" s="2" t="s">
        <v>313</v>
      </c>
      <c r="D146" t="str">
        <f t="shared" si="10"/>
        <v>15-17-23.6100N</v>
      </c>
      <c r="E146" t="str">
        <f t="shared" si="11"/>
        <v>146-09-39.8100E</v>
      </c>
      <c r="F146">
        <f t="shared" si="12"/>
        <v>15.289891666666666</v>
      </c>
      <c r="G146">
        <f t="shared" si="13"/>
        <v>146.16105833333333</v>
      </c>
      <c r="H146" s="3" t="str">
        <f t="shared" si="14"/>
        <v>[145] = {["comment"] = "UNZ*C*034.99 SN*R*065.76 GSN*LD/26.19 15-17-23.6100N 146-09-39.8100E", ["callsignStr"] = "WAKRI", ["latitude"] = 15.2898916666667, ["longitude"] = 146.161058333333 },</v>
      </c>
    </row>
    <row r="147" spans="1:8" ht="29.4" thickBot="1" x14ac:dyDescent="0.35">
      <c r="A147" s="2" t="s">
        <v>314</v>
      </c>
      <c r="B147" s="2" t="s">
        <v>33</v>
      </c>
      <c r="C147" s="2" t="s">
        <v>315</v>
      </c>
      <c r="D147" t="str">
        <f t="shared" si="10"/>
        <v>13-41-17.9600N</v>
      </c>
      <c r="E147" t="str">
        <f t="shared" si="11"/>
        <v>145-05-17.2700E</v>
      </c>
      <c r="F147">
        <f t="shared" si="12"/>
        <v>13.688322222222222</v>
      </c>
      <c r="G147">
        <f t="shared" si="13"/>
        <v>145.08813055555555</v>
      </c>
      <c r="H147" s="3" t="str">
        <f t="shared" si="14"/>
        <v>[146] = {["comment"] = "UNZ*C*054.00/25.00 13-41-17.9600N 145-05-17.2700E", ["callsignStr"] = "WAMAB", ["latitude"] = 13.6883222222222, ["longitude"] = 145.088130555556 },</v>
      </c>
    </row>
    <row r="148" spans="1:8" ht="29.4" thickBot="1" x14ac:dyDescent="0.35">
      <c r="A148" s="2" t="s">
        <v>316</v>
      </c>
      <c r="B148" s="2" t="s">
        <v>33</v>
      </c>
      <c r="C148" s="2" t="s">
        <v>317</v>
      </c>
      <c r="D148" t="str">
        <f t="shared" si="10"/>
        <v>13-39-00.8000N</v>
      </c>
      <c r="E148" t="str">
        <f t="shared" si="11"/>
        <v>145-13-52.3700E</v>
      </c>
      <c r="F148">
        <f t="shared" si="12"/>
        <v>13.650222222222222</v>
      </c>
      <c r="G148">
        <f t="shared" si="13"/>
        <v>145.2312138888889</v>
      </c>
      <c r="H148" s="3" t="str">
        <f t="shared" si="14"/>
        <v>[147] = {["comment"] = "UAM*T*076.00/17.00 13-39-00.8000N 145-13-52.3700E", ["callsignStr"] = "WELKU", ["latitude"] = 13.6502222222222, ["longitude"] = 145.231213888889 },</v>
      </c>
    </row>
    <row r="149" spans="1:8" ht="29.4" thickBot="1" x14ac:dyDescent="0.35">
      <c r="A149" s="2" t="s">
        <v>318</v>
      </c>
      <c r="B149" s="2" t="s">
        <v>33</v>
      </c>
      <c r="C149" s="2" t="s">
        <v>319</v>
      </c>
      <c r="D149" t="str">
        <f t="shared" si="10"/>
        <v>12-36-34.4100N</v>
      </c>
      <c r="E149" t="str">
        <f t="shared" si="11"/>
        <v>145-47-34.8100E</v>
      </c>
      <c r="F149">
        <f t="shared" si="12"/>
        <v>12.609558333333332</v>
      </c>
      <c r="G149">
        <f t="shared" si="13"/>
        <v>145.79300277777779</v>
      </c>
      <c r="H149" s="3" t="str">
        <f t="shared" si="14"/>
        <v>[148] = {["comment"] = "12-36-34.4100N 145-47-34.8100E", ["callsignStr"] = "WENOV", ["latitude"] = 12.6095583333333, ["longitude"] = 145.793002777778 },</v>
      </c>
    </row>
    <row r="150" spans="1:8" ht="29.4" thickBot="1" x14ac:dyDescent="0.35">
      <c r="A150" s="2" t="s">
        <v>26</v>
      </c>
      <c r="B150" s="2" t="s">
        <v>33</v>
      </c>
      <c r="C150" s="2" t="s">
        <v>31</v>
      </c>
      <c r="D150" t="str">
        <f t="shared" si="10"/>
        <v>13-37-15.4100N</v>
      </c>
      <c r="E150" t="str">
        <f t="shared" si="11"/>
        <v>145-01-14.4500E</v>
      </c>
      <c r="F150">
        <f t="shared" si="12"/>
        <v>13.620947222222222</v>
      </c>
      <c r="G150">
        <f t="shared" si="13"/>
        <v>145.02068055555557</v>
      </c>
      <c r="H150" s="3" t="str">
        <f t="shared" si="14"/>
        <v>[149] = {["comment"] = "UAM*T*065.69/4.68 UNZ*C*057.35 PMY*LG*063.87 13-37-15.4100N 145-01-14.4500E", ["callsignStr"] = "WESOK", ["latitude"] = 13.6209472222222, ["longitude"] = 145.020680555556 },</v>
      </c>
    </row>
    <row r="151" spans="1:8" ht="29.4" thickBot="1" x14ac:dyDescent="0.35">
      <c r="A151" s="2" t="s">
        <v>320</v>
      </c>
      <c r="B151" s="2" t="s">
        <v>33</v>
      </c>
      <c r="C151" s="2" t="s">
        <v>321</v>
      </c>
      <c r="D151" t="str">
        <f t="shared" si="10"/>
        <v>13-35-15.2700N</v>
      </c>
      <c r="E151" t="str">
        <f t="shared" si="11"/>
        <v>144-56-48.9300E</v>
      </c>
      <c r="F151">
        <f t="shared" si="12"/>
        <v>13.587575000000001</v>
      </c>
      <c r="G151">
        <f t="shared" si="13"/>
        <v>144.94692499999999</v>
      </c>
      <c r="H151" s="3" t="str">
        <f t="shared" si="14"/>
        <v>[150] = {["comment"] = "UNZ*C*055.50/14.80 13-35-15.2700N 144-56-48.9300E", ["callsignStr"] = "WEVUS", ["latitude"] = 13.587575, ["longitude"] = 144.946925 },</v>
      </c>
    </row>
    <row r="152" spans="1:8" ht="29.4" thickBot="1" x14ac:dyDescent="0.35">
      <c r="A152" s="2" t="s">
        <v>322</v>
      </c>
      <c r="B152" s="2" t="s">
        <v>33</v>
      </c>
      <c r="C152" s="2" t="s">
        <v>323</v>
      </c>
      <c r="D152" t="str">
        <f t="shared" si="10"/>
        <v>14-58-27.0000N</v>
      </c>
      <c r="E152" t="str">
        <f t="shared" si="11"/>
        <v>145-21-54.3100E</v>
      </c>
      <c r="F152">
        <f t="shared" si="12"/>
        <v>14.974166666666667</v>
      </c>
      <c r="G152">
        <f t="shared" si="13"/>
        <v>145.36508611111111</v>
      </c>
      <c r="H152" s="3" t="str">
        <f t="shared" si="14"/>
        <v>[151] = {["comment"] = "SN*R*245.79 UNZ*C*020.00/97.97 GSN*LD*245.80/23.71 14-58-27.0000N 145-21-54.3100E", ["callsignStr"] = "WILLE", ["latitude"] = 14.9741666666667, ["longitude"] = 145.365086111111 },</v>
      </c>
    </row>
    <row r="153" spans="1:8" ht="29.4" thickBot="1" x14ac:dyDescent="0.35">
      <c r="A153" s="2" t="s">
        <v>324</v>
      </c>
      <c r="B153" s="2" t="s">
        <v>33</v>
      </c>
      <c r="C153" s="2" t="s">
        <v>325</v>
      </c>
      <c r="D153" t="str">
        <f t="shared" si="10"/>
        <v>14-03-22.2700N</v>
      </c>
      <c r="E153" t="str">
        <f t="shared" si="11"/>
        <v>144-25-57.5100E</v>
      </c>
      <c r="F153">
        <f t="shared" si="12"/>
        <v>14.056186111111112</v>
      </c>
      <c r="G153">
        <f t="shared" si="13"/>
        <v>144.43264166666665</v>
      </c>
      <c r="H153" s="3" t="str">
        <f t="shared" si="14"/>
        <v>[152] = {["comment"] = "UNZ*C*332.00/40.00 14-03-22.2700N 144-25-57.5100E", ["callsignStr"] = "WUVEN", ["latitude"] = 14.0561861111111, ["longitude"] = 144.432641666667 },</v>
      </c>
    </row>
    <row r="154" spans="1:8" ht="29.4" thickBot="1" x14ac:dyDescent="0.35">
      <c r="A154" s="2" t="s">
        <v>326</v>
      </c>
      <c r="B154" s="2" t="s">
        <v>33</v>
      </c>
      <c r="C154" s="2" t="s">
        <v>327</v>
      </c>
      <c r="D154" t="str">
        <f t="shared" si="10"/>
        <v>15-02-09.1900N</v>
      </c>
      <c r="E154" t="str">
        <f t="shared" si="11"/>
        <v>145-31-12.4000E</v>
      </c>
      <c r="F154">
        <f t="shared" si="12"/>
        <v>15.035886111111111</v>
      </c>
      <c r="G154">
        <f t="shared" si="13"/>
        <v>145.52011111111113</v>
      </c>
      <c r="H154" s="3" t="str">
        <f t="shared" si="14"/>
        <v>[153] = {["comment"] = "SN*R*245.79 GSN*LD/13.98 15-02-09.1900N 145-31-12.4000E", ["callsignStr"] = "YAMMA", ["latitude"] = 15.0358861111111, ["longitude"] = 145.520111111111 },</v>
      </c>
    </row>
    <row r="155" spans="1:8" ht="29.4" thickBot="1" x14ac:dyDescent="0.35">
      <c r="A155" s="2" t="s">
        <v>328</v>
      </c>
      <c r="B155" s="2" t="s">
        <v>33</v>
      </c>
      <c r="C155" s="2" t="s">
        <v>329</v>
      </c>
      <c r="D155" t="str">
        <f t="shared" si="10"/>
        <v>13-28-12.9300N</v>
      </c>
      <c r="E155" t="str">
        <f t="shared" si="11"/>
        <v>144-34-48.7600E</v>
      </c>
      <c r="F155">
        <f t="shared" si="12"/>
        <v>13.470258333333334</v>
      </c>
      <c r="G155">
        <f t="shared" si="13"/>
        <v>144.58021111111111</v>
      </c>
      <c r="H155" s="3" t="str">
        <f t="shared" si="14"/>
        <v>[154] = {["comment"] = "UNZ*C*274.00/9.00 13-28-12.9300N 144-34-48.7600E", ["callsignStr"] = "YASSU", ["latitude"] = 13.4702583333333, ["longitude"] = 144.580211111111 },</v>
      </c>
    </row>
    <row r="156" spans="1:8" ht="29.4" thickBot="1" x14ac:dyDescent="0.35">
      <c r="A156" s="2" t="s">
        <v>330</v>
      </c>
      <c r="B156" s="2" t="s">
        <v>33</v>
      </c>
      <c r="C156" s="2" t="s">
        <v>331</v>
      </c>
      <c r="D156" t="str">
        <f t="shared" si="10"/>
        <v>13-28-22.8200N</v>
      </c>
      <c r="E156" t="str">
        <f t="shared" si="11"/>
        <v>144-46-18.1200E</v>
      </c>
      <c r="F156">
        <f t="shared" si="12"/>
        <v>13.473005555555556</v>
      </c>
      <c r="G156">
        <f t="shared" si="13"/>
        <v>144.77170000000001</v>
      </c>
      <c r="H156" s="3" t="str">
        <f t="shared" si="14"/>
        <v>[155] = {["comment"] = "UNZ*C*061.83/2.50 13-28-22.8200N 144-46-18.1200E", ["callsignStr"] = "ZADEK", ["latitude"] = 13.4730055555556, ["longitude"] = 144.7717 },</v>
      </c>
    </row>
    <row r="157" spans="1:8" ht="29.4" thickBot="1" x14ac:dyDescent="0.35">
      <c r="A157" s="2" t="s">
        <v>332</v>
      </c>
      <c r="B157" s="2" t="s">
        <v>33</v>
      </c>
      <c r="C157" s="2" t="s">
        <v>333</v>
      </c>
      <c r="D157" t="str">
        <f t="shared" si="10"/>
        <v>13-27-06.4700N</v>
      </c>
      <c r="E157" t="str">
        <f t="shared" si="11"/>
        <v>144-43-45.6900E</v>
      </c>
      <c r="F157">
        <f t="shared" si="12"/>
        <v>13.451797222222222</v>
      </c>
      <c r="G157">
        <f t="shared" si="13"/>
        <v>144.72935833333332</v>
      </c>
      <c r="H157" s="3" t="str">
        <f t="shared" si="14"/>
        <v>[156] = {["comment"] = "AWD*LD*242.96/5.40 13-27-06.4700N 144-43-45.6900E", ["callsignStr"] = "ZAXUS", ["latitude"] = 13.4517972222222, ["longitude"] = 144.729358333333 },</v>
      </c>
    </row>
    <row r="158" spans="1:8" ht="29.4" thickBot="1" x14ac:dyDescent="0.35">
      <c r="A158" s="2" t="s">
        <v>334</v>
      </c>
      <c r="B158" s="2" t="s">
        <v>33</v>
      </c>
      <c r="C158" s="2" t="s">
        <v>335</v>
      </c>
      <c r="D158" t="str">
        <f t="shared" si="10"/>
        <v>13-20-19.0500N</v>
      </c>
      <c r="E158" t="str">
        <f t="shared" si="11"/>
        <v>144-45-08.3400E</v>
      </c>
      <c r="F158">
        <f t="shared" si="12"/>
        <v>13.338625</v>
      </c>
      <c r="G158">
        <f t="shared" si="13"/>
        <v>144.75231666666667</v>
      </c>
      <c r="H158" s="3" t="str">
        <f t="shared" si="14"/>
        <v>[157] = {["comment"] = "UNZ*C*169.00/7.00 13-20-19.0500N 144-45-08.3400E", ["callsignStr"] = "ZEEKE", ["latitude"] = 13.338625, ["longitude"] = 144.752316666667 },</v>
      </c>
    </row>
    <row r="159" spans="1:8" ht="29.4" thickBot="1" x14ac:dyDescent="0.35">
      <c r="A159" s="2" t="s">
        <v>336</v>
      </c>
      <c r="B159" s="2" t="s">
        <v>33</v>
      </c>
      <c r="C159" s="2" t="s">
        <v>337</v>
      </c>
      <c r="D159" t="str">
        <f t="shared" si="10"/>
        <v>12-56-12.6300N</v>
      </c>
      <c r="E159" t="str">
        <f t="shared" si="11"/>
        <v>145-59-37.8700E</v>
      </c>
      <c r="F159">
        <f t="shared" si="12"/>
        <v>12.936841666666666</v>
      </c>
      <c r="G159">
        <f t="shared" si="13"/>
        <v>145.99385277777776</v>
      </c>
      <c r="H159" s="3" t="str">
        <f t="shared" si="14"/>
        <v>[158] = {["comment"] = "12-56-12.6300N 145-59-37.8700E", ["callsignStr"] = "ZEGAR", ["latitude"] = 12.9368416666667, ["longitude"] = 145.993852777778 },</v>
      </c>
    </row>
    <row r="160" spans="1:8" ht="29.4" thickBot="1" x14ac:dyDescent="0.35">
      <c r="A160" s="2" t="s">
        <v>338</v>
      </c>
      <c r="B160" s="2" t="s">
        <v>33</v>
      </c>
      <c r="C160" s="2" t="s">
        <v>339</v>
      </c>
      <c r="D160" t="str">
        <f t="shared" si="10"/>
        <v>15-08-34.1100N</v>
      </c>
      <c r="E160" t="str">
        <f t="shared" si="11"/>
        <v>145-47-21.6600E</v>
      </c>
      <c r="F160">
        <f t="shared" si="12"/>
        <v>15.142808333333333</v>
      </c>
      <c r="G160">
        <f t="shared" si="13"/>
        <v>145.78934999999998</v>
      </c>
      <c r="H160" s="3" t="str">
        <f t="shared" si="14"/>
        <v>[159] = {["comment"] = "SN*R*065.76 GSN*LD/2.90 15-08-34.1100N 145-47-21.6600E", ["callsignStr"] = "ZEKUR", ["latitude"] = 15.1428083333333, ["longitude"] = 145.78935 },</v>
      </c>
    </row>
    <row r="161" spans="1:8" ht="29.4" thickBot="1" x14ac:dyDescent="0.35">
      <c r="A161" s="2" t="s">
        <v>340</v>
      </c>
      <c r="B161" s="2" t="s">
        <v>33</v>
      </c>
      <c r="C161" s="2" t="s">
        <v>341</v>
      </c>
      <c r="D161" t="str">
        <f t="shared" si="10"/>
        <v>13-41-45.8800N</v>
      </c>
      <c r="E161" t="str">
        <f t="shared" si="11"/>
        <v>145-06-12.3700E</v>
      </c>
      <c r="F161">
        <f t="shared" si="12"/>
        <v>13.696077777777777</v>
      </c>
      <c r="G161">
        <f t="shared" si="13"/>
        <v>145.10343611111111</v>
      </c>
      <c r="H161" s="3" t="str">
        <f t="shared" si="14"/>
        <v>[160] = {["comment"] = "UNZ*C*054.25/26.00 13-41-45.8800N 145-06-12.3700E", ["callsignStr"] = "ZUKIE", ["latitude"] = 13.6960777777778, ["longitude"] = 145.103436111111 },</v>
      </c>
    </row>
    <row r="162" spans="1:8" ht="29.4" thickBot="1" x14ac:dyDescent="0.35">
      <c r="A162" s="2" t="s">
        <v>342</v>
      </c>
      <c r="B162" s="2" t="s">
        <v>343</v>
      </c>
      <c r="C162" s="2" t="s">
        <v>344</v>
      </c>
      <c r="D162" t="str">
        <f t="shared" si="10"/>
        <v>15-03-40.0300N</v>
      </c>
      <c r="E162" t="str">
        <f t="shared" si="11"/>
        <v>145-24-18.4000E</v>
      </c>
      <c r="F162">
        <f t="shared" si="12"/>
        <v>15.061119444444445</v>
      </c>
      <c r="G162">
        <f t="shared" si="13"/>
        <v>145.40511111111113</v>
      </c>
      <c r="H162" s="3" t="str">
        <f t="shared" si="14"/>
        <v>[161] = {["comment"] = "15-03-40.0300N 145-24-18.4000E", ["callsignStr"] = "CENOR", ["latitude"] = 15.0611194444444, ["longitude"] = 145.405111111111 },</v>
      </c>
    </row>
    <row r="163" spans="1:8" ht="29.4" thickBot="1" x14ac:dyDescent="0.35">
      <c r="A163" s="2" t="s">
        <v>345</v>
      </c>
      <c r="B163" s="2" t="s">
        <v>343</v>
      </c>
      <c r="C163" s="2" t="s">
        <v>346</v>
      </c>
      <c r="D163" t="str">
        <f t="shared" si="10"/>
        <v>14-10-07.7800N</v>
      </c>
      <c r="E163" t="str">
        <f t="shared" si="11"/>
        <v>145-18-08.0200E</v>
      </c>
      <c r="F163">
        <f t="shared" si="12"/>
        <v>14.168827777777777</v>
      </c>
      <c r="G163">
        <f t="shared" si="13"/>
        <v>145.3022277777778</v>
      </c>
      <c r="H163" s="3" t="str">
        <f t="shared" si="14"/>
        <v>[162] = {["comment"] = "14-10-07.7800N 145-18-08.0200E", ["callsignStr"] = "CEPOS", ["latitude"] = 14.1688277777778, ["longitude"] = 145.302227777778 },</v>
      </c>
    </row>
    <row r="164" spans="1:8" ht="29.4" thickBot="1" x14ac:dyDescent="0.35">
      <c r="A164" s="2" t="s">
        <v>347</v>
      </c>
      <c r="B164" s="2" t="s">
        <v>343</v>
      </c>
      <c r="C164" s="2" t="s">
        <v>348</v>
      </c>
      <c r="D164" t="str">
        <f t="shared" si="10"/>
        <v>07-31-13.1200N</v>
      </c>
      <c r="E164" t="str">
        <f t="shared" si="11"/>
        <v>151-53-24.5300E</v>
      </c>
      <c r="F164">
        <f t="shared" si="12"/>
        <v>7.5203111111111109</v>
      </c>
      <c r="G164">
        <f t="shared" si="13"/>
        <v>151.89014722222223</v>
      </c>
      <c r="H164" s="3" t="str">
        <f t="shared" si="14"/>
        <v>[163] = {["comment"] = "TKK*RD*034.00/5.00 07-31-13.1200N 151-53-24.5300E", ["callsignStr"] = "CHENG", ["latitude"] = 7.52031111111111, ["longitude"] = 151.890147222222 },</v>
      </c>
    </row>
    <row r="165" spans="1:8" ht="29.4" thickBot="1" x14ac:dyDescent="0.35">
      <c r="A165" s="2" t="s">
        <v>349</v>
      </c>
      <c r="B165" s="2" t="s">
        <v>343</v>
      </c>
      <c r="C165" s="2" t="s">
        <v>350</v>
      </c>
      <c r="D165" t="str">
        <f t="shared" si="10"/>
        <v>14-52-49.3900N</v>
      </c>
      <c r="E165" t="str">
        <f t="shared" si="11"/>
        <v>145-26-28.5000E</v>
      </c>
      <c r="F165">
        <f t="shared" si="12"/>
        <v>14.880386111111111</v>
      </c>
      <c r="G165">
        <f t="shared" si="13"/>
        <v>145.44125</v>
      </c>
      <c r="H165" s="3" t="str">
        <f t="shared" si="14"/>
        <v>[164] = {["comment"] = "14-52-49.3900N 145-26-28.5000E", ["callsignStr"] = "COVHI", ["latitude"] = 14.8803861111111, ["longitude"] = 145.44125 },</v>
      </c>
    </row>
    <row r="166" spans="1:8" ht="29.4" thickBot="1" x14ac:dyDescent="0.35">
      <c r="A166" s="2" t="s">
        <v>351</v>
      </c>
      <c r="B166" s="2" t="s">
        <v>343</v>
      </c>
      <c r="C166" s="2" t="s">
        <v>352</v>
      </c>
      <c r="D166" t="str">
        <f t="shared" si="10"/>
        <v>13-59-51.6200N</v>
      </c>
      <c r="E166" t="str">
        <f t="shared" si="11"/>
        <v>144-57-29.0200E</v>
      </c>
      <c r="F166">
        <f t="shared" si="12"/>
        <v>13.997672222222221</v>
      </c>
      <c r="G166">
        <f t="shared" si="13"/>
        <v>144.95806111111111</v>
      </c>
      <c r="H166" s="3" t="str">
        <f t="shared" si="14"/>
        <v>[165] = {["comment"] = "UNZ*C*020.00/35.00 13-59-51.6200N 144-57-29.0200E", ["callsignStr"] = "CULPS", ["latitude"] = 13.9976722222222, ["longitude"] = 144.958061111111 },</v>
      </c>
    </row>
    <row r="167" spans="1:8" ht="29.4" thickBot="1" x14ac:dyDescent="0.35">
      <c r="A167" s="2" t="s">
        <v>353</v>
      </c>
      <c r="B167" s="2" t="s">
        <v>343</v>
      </c>
      <c r="C167" s="2" t="s">
        <v>354</v>
      </c>
      <c r="D167" t="str">
        <f t="shared" si="10"/>
        <v>14-57-45.1400N</v>
      </c>
      <c r="E167" t="str">
        <f t="shared" si="11"/>
        <v>145-25-29.3900E</v>
      </c>
      <c r="F167">
        <f t="shared" si="12"/>
        <v>14.962538888888888</v>
      </c>
      <c r="G167">
        <f t="shared" si="13"/>
        <v>145.42483055555556</v>
      </c>
      <c r="H167" s="3" t="str">
        <f t="shared" si="14"/>
        <v>[166] = {["comment"] = "14-57-45.1400N 145-25-29.3900E", ["callsignStr"] = "DAMQY", ["latitude"] = 14.9625388888889, ["longitude"] = 145.424830555556 },</v>
      </c>
    </row>
    <row r="168" spans="1:8" ht="29.4" thickBot="1" x14ac:dyDescent="0.35">
      <c r="A168" s="2" t="s">
        <v>355</v>
      </c>
      <c r="B168" s="2" t="s">
        <v>343</v>
      </c>
      <c r="C168" s="2" t="s">
        <v>356</v>
      </c>
      <c r="D168" t="str">
        <f t="shared" si="10"/>
        <v>15-00-57.8500N</v>
      </c>
      <c r="E168" t="str">
        <f t="shared" si="11"/>
        <v>145-42-32.8600E</v>
      </c>
      <c r="F168">
        <f t="shared" si="12"/>
        <v>15.016069444444444</v>
      </c>
      <c r="G168">
        <f t="shared" si="13"/>
        <v>145.70912777777778</v>
      </c>
      <c r="H168" s="3" t="str">
        <f t="shared" si="14"/>
        <v>[167] = {["comment"] = "15-00-57.8500N 145-42-32.8600E", ["callsignStr"] = "DUCFI", ["latitude"] = 15.0160694444444, ["longitude"] = 145.709127777778 },</v>
      </c>
    </row>
    <row r="169" spans="1:8" ht="29.4" thickBot="1" x14ac:dyDescent="0.35">
      <c r="A169" s="2" t="s">
        <v>357</v>
      </c>
      <c r="B169" s="2" t="s">
        <v>343</v>
      </c>
      <c r="C169" s="2" t="s">
        <v>358</v>
      </c>
      <c r="D169" t="str">
        <f t="shared" si="10"/>
        <v>14-58-55.1100N</v>
      </c>
      <c r="E169" t="str">
        <f t="shared" si="11"/>
        <v>145-31-40.2000E</v>
      </c>
      <c r="F169">
        <f t="shared" si="12"/>
        <v>14.981975</v>
      </c>
      <c r="G169">
        <f t="shared" si="13"/>
        <v>145.52783333333335</v>
      </c>
      <c r="H169" s="3" t="str">
        <f t="shared" si="14"/>
        <v>[168] = {["comment"] = "14-58-55.1100N 145-31-40.2000E", ["callsignStr"] = "ELOXE", ["latitude"] = 14.981975, ["longitude"] = 145.527833333333 },</v>
      </c>
    </row>
    <row r="170" spans="1:8" ht="29.4" thickBot="1" x14ac:dyDescent="0.35">
      <c r="A170" s="2" t="s">
        <v>359</v>
      </c>
      <c r="B170" s="2" t="s">
        <v>343</v>
      </c>
      <c r="C170" s="2" t="s">
        <v>360</v>
      </c>
      <c r="D170" t="str">
        <f t="shared" si="10"/>
        <v>14-13-45.3300N</v>
      </c>
      <c r="E170" t="str">
        <f t="shared" si="11"/>
        <v>145-03-15.2300E</v>
      </c>
      <c r="F170">
        <f t="shared" si="12"/>
        <v>14.229258333333334</v>
      </c>
      <c r="G170">
        <f t="shared" si="13"/>
        <v>145.05423055555556</v>
      </c>
      <c r="H170" s="3" t="str">
        <f t="shared" si="14"/>
        <v>[169] = {["comment"] = "14-13-45.3300N 145-03-15.2300E", ["callsignStr"] = "EPCAX", ["latitude"] = 14.2292583333333, ["longitude"] = 145.054230555556 },</v>
      </c>
    </row>
    <row r="171" spans="1:8" ht="29.4" thickBot="1" x14ac:dyDescent="0.35">
      <c r="A171" s="2" t="s">
        <v>361</v>
      </c>
      <c r="B171" s="2" t="s">
        <v>343</v>
      </c>
      <c r="C171" s="2" t="s">
        <v>362</v>
      </c>
      <c r="D171" t="str">
        <f t="shared" si="10"/>
        <v>15-09-21.1300N</v>
      </c>
      <c r="E171" t="str">
        <f t="shared" si="11"/>
        <v>145-49-20.8100E</v>
      </c>
      <c r="F171">
        <f t="shared" si="12"/>
        <v>15.155869444444445</v>
      </c>
      <c r="G171">
        <f t="shared" si="13"/>
        <v>145.82244722222222</v>
      </c>
      <c r="H171" s="3" t="str">
        <f t="shared" si="14"/>
        <v>[170] = {["comment"] = "15-09-21.1300N 145-49-20.8100E", ["callsignStr"] = "FIHVY", ["latitude"] = 15.1558694444444, ["longitude"] = 145.822447222222 },</v>
      </c>
    </row>
    <row r="172" spans="1:8" ht="29.4" thickBot="1" x14ac:dyDescent="0.35">
      <c r="A172" s="2" t="s">
        <v>363</v>
      </c>
      <c r="B172" s="2" t="s">
        <v>343</v>
      </c>
      <c r="C172" s="2" t="s">
        <v>364</v>
      </c>
      <c r="D172" t="str">
        <f t="shared" si="10"/>
        <v>14-48-10.2000N</v>
      </c>
      <c r="E172" t="str">
        <f t="shared" si="11"/>
        <v>145-50-26.7700E</v>
      </c>
      <c r="F172">
        <f t="shared" si="12"/>
        <v>14.802833333333334</v>
      </c>
      <c r="G172">
        <f t="shared" si="13"/>
        <v>145.84076944444445</v>
      </c>
      <c r="H172" s="3" t="str">
        <f t="shared" si="14"/>
        <v>[171] = {["comment"] = "14-48-10.2000N 145-50-26.7700E", ["callsignStr"] = "GAFWY", ["latitude"] = 14.8028333333333, ["longitude"] = 145.840769444444 },</v>
      </c>
    </row>
    <row r="173" spans="1:8" ht="29.4" thickBot="1" x14ac:dyDescent="0.35">
      <c r="A173" s="2" t="s">
        <v>365</v>
      </c>
      <c r="B173" s="2" t="s">
        <v>343</v>
      </c>
      <c r="C173" s="2" t="s">
        <v>366</v>
      </c>
      <c r="D173" t="str">
        <f t="shared" si="10"/>
        <v>14-47-21.1100N</v>
      </c>
      <c r="E173" t="str">
        <f t="shared" si="11"/>
        <v>145-46-06.6800E</v>
      </c>
      <c r="F173">
        <f t="shared" si="12"/>
        <v>14.789197222222223</v>
      </c>
      <c r="G173">
        <f t="shared" si="13"/>
        <v>145.76852222222223</v>
      </c>
      <c r="H173" s="3" t="str">
        <f t="shared" si="14"/>
        <v>[172] = {["comment"] = "UNZ*C*035.00/100.00 SN*R*168.04 14-47-21.1100N 145-46-06.6800E", ["callsignStr"] = "HIRCH", ["latitude"] = 14.7891972222222, ["longitude"] = 145.768522222222 },</v>
      </c>
    </row>
    <row r="174" spans="1:8" ht="29.4" thickBot="1" x14ac:dyDescent="0.35">
      <c r="A174" s="2" t="s">
        <v>367</v>
      </c>
      <c r="B174" s="2" t="s">
        <v>343</v>
      </c>
      <c r="C174" s="2" t="s">
        <v>368</v>
      </c>
      <c r="D174" t="str">
        <f t="shared" si="10"/>
        <v>15-06-22.5100N</v>
      </c>
      <c r="E174" t="str">
        <f t="shared" si="11"/>
        <v>145-41-49.9200E</v>
      </c>
      <c r="F174">
        <f t="shared" si="12"/>
        <v>15.106252777777778</v>
      </c>
      <c r="G174">
        <f t="shared" si="13"/>
        <v>145.69720000000001</v>
      </c>
      <c r="H174" s="3" t="str">
        <f t="shared" si="14"/>
        <v>[173] = {["comment"] = "GSN*LD*245.80/2.88 15-06-22.5100N 145-41-49.9200E", ["callsignStr"] = "JIDSU", ["latitude"] = 15.1062527777778, ["longitude"] = 145.6972 },</v>
      </c>
    </row>
    <row r="175" spans="1:8" ht="29.4" thickBot="1" x14ac:dyDescent="0.35">
      <c r="A175" s="2" t="s">
        <v>369</v>
      </c>
      <c r="B175" s="2" t="s">
        <v>343</v>
      </c>
      <c r="C175" s="2" t="s">
        <v>370</v>
      </c>
      <c r="D175" t="str">
        <f t="shared" si="10"/>
        <v>14-11-20.6300N</v>
      </c>
      <c r="E175" t="str">
        <f t="shared" si="11"/>
        <v>145-03-17.9500E</v>
      </c>
      <c r="F175">
        <f t="shared" si="12"/>
        <v>14.189063888888889</v>
      </c>
      <c r="G175">
        <f t="shared" si="13"/>
        <v>145.05498611111113</v>
      </c>
      <c r="H175" s="3" t="str">
        <f t="shared" si="14"/>
        <v>[174] = {["comment"] = "14-11-20.6300N 145-03-17.9500E", ["callsignStr"] = "JIRGI", ["latitude"] = 14.1890638888889, ["longitude"] = 145.054986111111 },</v>
      </c>
    </row>
    <row r="176" spans="1:8" ht="29.4" thickBot="1" x14ac:dyDescent="0.35">
      <c r="A176" s="2" t="s">
        <v>371</v>
      </c>
      <c r="B176" s="2" t="s">
        <v>343</v>
      </c>
      <c r="C176" s="2" t="s">
        <v>372</v>
      </c>
      <c r="D176" t="str">
        <f t="shared" si="10"/>
        <v>13-45-42.9400N</v>
      </c>
      <c r="E176" t="str">
        <f t="shared" si="11"/>
        <v>144-58-13.2500E</v>
      </c>
      <c r="F176">
        <f t="shared" si="12"/>
        <v>13.761927777777778</v>
      </c>
      <c r="G176">
        <f t="shared" si="13"/>
        <v>144.97034722222222</v>
      </c>
      <c r="H176" s="3" t="str">
        <f t="shared" si="14"/>
        <v>[175] = {["comment"] = "UNZ*C*035.00/23.00 13-45-42.9400N 144-58-13.2500E", ["callsignStr"] = "KAQTU", ["latitude"] = 13.7619277777778, ["longitude"] = 144.970347222222 },</v>
      </c>
    </row>
    <row r="177" spans="1:8" ht="29.4" thickBot="1" x14ac:dyDescent="0.35">
      <c r="A177" s="2" t="s">
        <v>373</v>
      </c>
      <c r="B177" s="2" t="s">
        <v>343</v>
      </c>
      <c r="C177" s="2" t="s">
        <v>374</v>
      </c>
      <c r="D177" t="str">
        <f t="shared" si="10"/>
        <v>14-22-11.8700N</v>
      </c>
      <c r="E177" t="str">
        <f t="shared" si="11"/>
        <v>145-06-46.0400E</v>
      </c>
      <c r="F177">
        <f t="shared" si="12"/>
        <v>14.36996388888889</v>
      </c>
      <c r="G177">
        <f t="shared" si="13"/>
        <v>145.11278888888887</v>
      </c>
      <c r="H177" s="3" t="str">
        <f t="shared" si="14"/>
        <v>[176] = {["comment"] = "UNZ*C*020.00/59.00 14-22-11.8700N 145-06-46.0400E", ["callsignStr"] = "MONIE", ["latitude"] = 14.3699638888889, ["longitude"] = 145.112788888889 },</v>
      </c>
    </row>
    <row r="178" spans="1:8" ht="29.4" thickBot="1" x14ac:dyDescent="0.35">
      <c r="A178" s="2" t="s">
        <v>375</v>
      </c>
      <c r="B178" s="2" t="s">
        <v>343</v>
      </c>
      <c r="C178" s="2" t="s">
        <v>376</v>
      </c>
      <c r="D178" t="str">
        <f t="shared" si="10"/>
        <v>14-10-50.4700N</v>
      </c>
      <c r="E178" t="str">
        <f t="shared" si="11"/>
        <v>145-09-27.8600E</v>
      </c>
      <c r="F178">
        <f t="shared" si="12"/>
        <v>14.180686111111111</v>
      </c>
      <c r="G178">
        <f t="shared" si="13"/>
        <v>145.1577388888889</v>
      </c>
      <c r="H178" s="3" t="str">
        <f t="shared" si="14"/>
        <v>[177] = {["comment"] = "14-10-50.4700N 145-09-27.8600E", ["callsignStr"] = "ONSUW", ["latitude"] = 14.1806861111111, ["longitude"] = 145.157738888889 },</v>
      </c>
    </row>
    <row r="179" spans="1:8" ht="29.4" thickBot="1" x14ac:dyDescent="0.35">
      <c r="A179" s="2" t="s">
        <v>377</v>
      </c>
      <c r="B179" s="2" t="s">
        <v>343</v>
      </c>
      <c r="C179" s="2" t="s">
        <v>378</v>
      </c>
      <c r="D179" t="str">
        <f t="shared" si="10"/>
        <v>14-10-17.2300N</v>
      </c>
      <c r="E179" t="str">
        <f t="shared" si="11"/>
        <v>145-20-03.6300E</v>
      </c>
      <c r="F179">
        <f t="shared" si="12"/>
        <v>14.171452777777777</v>
      </c>
      <c r="G179">
        <f t="shared" si="13"/>
        <v>145.33434166666669</v>
      </c>
      <c r="H179" s="3" t="str">
        <f t="shared" si="14"/>
        <v>[178] = {["comment"] = "14-10-17.2300N 145-20-03.6300E", ["callsignStr"] = "OPBUL", ["latitude"] = 14.1714527777778, ["longitude"] = 145.334341666667 },</v>
      </c>
    </row>
    <row r="180" spans="1:8" ht="29.4" thickBot="1" x14ac:dyDescent="0.35">
      <c r="A180" s="2" t="s">
        <v>379</v>
      </c>
      <c r="B180" s="2" t="s">
        <v>343</v>
      </c>
      <c r="C180" s="2" t="s">
        <v>380</v>
      </c>
      <c r="D180" t="str">
        <f t="shared" si="10"/>
        <v>14-00-06.0200N</v>
      </c>
      <c r="E180" t="str">
        <f t="shared" si="11"/>
        <v>145-28-32.9600E</v>
      </c>
      <c r="F180">
        <f t="shared" si="12"/>
        <v>14.001672222222222</v>
      </c>
      <c r="G180">
        <f t="shared" si="13"/>
        <v>145.47582222222223</v>
      </c>
      <c r="H180" s="3" t="str">
        <f t="shared" si="14"/>
        <v>[179] = {["comment"] = "14-00-06.0200N 145-28-32.9600E", ["callsignStr"] = "REWJU", ["latitude"] = 14.0016722222222, ["longitude"] = 145.475822222222 },</v>
      </c>
    </row>
    <row r="181" spans="1:8" ht="29.4" thickBot="1" x14ac:dyDescent="0.35">
      <c r="A181" s="2" t="s">
        <v>381</v>
      </c>
      <c r="B181" s="2" t="s">
        <v>343</v>
      </c>
      <c r="C181" s="2" t="s">
        <v>382</v>
      </c>
      <c r="D181" t="str">
        <f t="shared" si="10"/>
        <v>15-02-10.8400N</v>
      </c>
      <c r="E181" t="str">
        <f t="shared" si="11"/>
        <v>145-49-02.3400E</v>
      </c>
      <c r="F181">
        <f t="shared" si="12"/>
        <v>15.036344444444444</v>
      </c>
      <c r="G181">
        <f t="shared" si="13"/>
        <v>145.81731666666667</v>
      </c>
      <c r="H181" s="3" t="str">
        <f t="shared" si="14"/>
        <v>[180] = {["comment"] = "15-02-10.8400N 145-49-02.3400E", ["callsignStr"] = "SADVE", ["latitude"] = 15.0363444444444, ["longitude"] = 145.817316666667 },</v>
      </c>
    </row>
    <row r="182" spans="1:8" ht="29.4" thickBot="1" x14ac:dyDescent="0.35">
      <c r="A182" s="2" t="s">
        <v>383</v>
      </c>
      <c r="B182" s="2" t="s">
        <v>343</v>
      </c>
      <c r="C182" s="2" t="s">
        <v>384</v>
      </c>
      <c r="D182" t="str">
        <f t="shared" si="10"/>
        <v>14-10-04.6300N</v>
      </c>
      <c r="E182" t="str">
        <f t="shared" si="11"/>
        <v>145-26-44.8600E</v>
      </c>
      <c r="F182">
        <f t="shared" si="12"/>
        <v>14.167952777777778</v>
      </c>
      <c r="G182">
        <f t="shared" si="13"/>
        <v>145.44579444444446</v>
      </c>
      <c r="H182" s="3" t="str">
        <f t="shared" si="14"/>
        <v>[181] = {["comment"] = "14-10-04.6300N 145-26-44.8600E", ["callsignStr"] = "TOXPA", ["latitude"] = 14.1679527777778, ["longitude"] = 145.445794444444 },</v>
      </c>
    </row>
    <row r="183" spans="1:8" ht="29.4" thickBot="1" x14ac:dyDescent="0.35">
      <c r="A183" s="2" t="s">
        <v>385</v>
      </c>
      <c r="B183" s="2" t="s">
        <v>343</v>
      </c>
      <c r="C183" s="2" t="s">
        <v>386</v>
      </c>
      <c r="D183" t="str">
        <f t="shared" si="10"/>
        <v>15-15-06.9200N</v>
      </c>
      <c r="E183" t="str">
        <f t="shared" si="11"/>
        <v>146-00-44.0800E</v>
      </c>
      <c r="F183">
        <f t="shared" si="12"/>
        <v>15.251922222222221</v>
      </c>
      <c r="G183">
        <f t="shared" si="13"/>
        <v>146.01224444444443</v>
      </c>
      <c r="H183" s="3" t="str">
        <f t="shared" si="14"/>
        <v>[182] = {["comment"] = "15-15-06.9200N 146-00-44.0800E", ["callsignStr"] = "UKUGY", ["latitude"] = 15.2519222222222, ["longitude"] = 146.012244444444 },</v>
      </c>
    </row>
    <row r="184" spans="1:8" ht="29.4" thickBot="1" x14ac:dyDescent="0.35">
      <c r="A184" s="2" t="s">
        <v>387</v>
      </c>
      <c r="B184" s="2" t="s">
        <v>343</v>
      </c>
      <c r="C184" s="2" t="s">
        <v>388</v>
      </c>
      <c r="D184" t="str">
        <f t="shared" si="10"/>
        <v>14-58-14.2800N</v>
      </c>
      <c r="E184" t="str">
        <f t="shared" si="11"/>
        <v>146-02-22.1800E</v>
      </c>
      <c r="F184">
        <f t="shared" si="12"/>
        <v>14.970633333333334</v>
      </c>
      <c r="G184">
        <f t="shared" si="13"/>
        <v>146.03949444444444</v>
      </c>
      <c r="H184" s="3" t="str">
        <f t="shared" si="14"/>
        <v>[183] = {["comment"] = "14-58-14.2800N 146-02-22.1800E", ["callsignStr"] = "YEYNU", ["latitude"] = 14.9706333333333, ["longitude"] = 146.039494444444 },</v>
      </c>
    </row>
    <row r="185" spans="1:8" ht="29.4" thickBot="1" x14ac:dyDescent="0.35">
      <c r="A185" s="2" t="s">
        <v>389</v>
      </c>
      <c r="B185" s="2" t="s">
        <v>343</v>
      </c>
      <c r="C185" s="2" t="s">
        <v>390</v>
      </c>
      <c r="D185" t="str">
        <f t="shared" si="10"/>
        <v>15-08-05.6600N</v>
      </c>
      <c r="E185" t="str">
        <f t="shared" si="11"/>
        <v>145-46-10.1800E</v>
      </c>
      <c r="F185">
        <f t="shared" si="12"/>
        <v>15.134905555555555</v>
      </c>
      <c r="G185">
        <f t="shared" si="13"/>
        <v>145.76949444444446</v>
      </c>
      <c r="H185" s="3" t="str">
        <f t="shared" si="14"/>
        <v>[184] = {["comment"] = "15-08-05.6600N 145-46-10.1800E", ["callsignStr"] = "ZILUK", ["latitude"] = 15.1349055555556, ["longitude"] = 145.769494444444 },</v>
      </c>
    </row>
    <row r="186" spans="1:8" ht="29.4" thickBot="1" x14ac:dyDescent="0.35">
      <c r="A186" s="2" t="s">
        <v>391</v>
      </c>
      <c r="B186" s="2" t="s">
        <v>343</v>
      </c>
      <c r="C186" s="2" t="s">
        <v>392</v>
      </c>
      <c r="D186" t="str">
        <f t="shared" si="10"/>
        <v>14-18-41.6900N</v>
      </c>
      <c r="E186" t="str">
        <f t="shared" si="11"/>
        <v>145-01-36.8400E</v>
      </c>
      <c r="F186">
        <f t="shared" si="12"/>
        <v>14.311580555555556</v>
      </c>
      <c r="G186">
        <f t="shared" si="13"/>
        <v>145.02690000000001</v>
      </c>
      <c r="H186" s="3" t="str">
        <f t="shared" si="14"/>
        <v>[185] = {["comment"] = "14-18-41.6900N 145-01-36.8400E", ["callsignStr"] = "ZOVIK", ["latitude"] = 14.3115805555556, ["longitude"] = 145.0269 },</v>
      </c>
    </row>
  </sheetData>
  <autoFilter ref="A1:H18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Offshore Pacific</vt:lpstr>
      <vt:lpstr>Sheet1</vt:lpstr>
      <vt:lpstr>Sheet2</vt:lpstr>
    </vt:vector>
  </TitlesOfParts>
  <Company>Gemalto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Dondl Werner</dc:creator>
  <cp:lastModifiedBy>Dondl Werner</cp:lastModifiedBy>
  <dcterms:created xsi:type="dcterms:W3CDTF">2021-08-10T08:56:06Z</dcterms:created>
  <dcterms:modified xsi:type="dcterms:W3CDTF">2021-08-12T08:10:43Z</dcterms:modified>
</cp:coreProperties>
</file>